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8490BE2C488947/Documents/"/>
    </mc:Choice>
  </mc:AlternateContent>
  <xr:revisionPtr revIDLastSave="275" documentId="8_{5677C7B3-2C42-488E-A791-6463764AA5C9}" xr6:coauthVersionLast="47" xr6:coauthVersionMax="47" xr10:uidLastSave="{D4FDCACC-ABE7-4880-BE80-10BC459159B5}"/>
  <bookViews>
    <workbookView xWindow="-108" yWindow="-108" windowWidth="23256" windowHeight="13896" activeTab="1" xr2:uid="{B61CD916-FD62-4FE8-BEBF-A551FA1DD548}"/>
  </bookViews>
  <sheets>
    <sheet name="Methodology 1" sheetId="1" r:id="rId1"/>
    <sheet name="Comparison 1" sheetId="4" r:id="rId2"/>
    <sheet name="Methodology 2" sheetId="2" r:id="rId3"/>
    <sheet name="Comparison 2" sheetId="5" r:id="rId4"/>
    <sheet name="Methodology 3 " sheetId="3" r:id="rId5"/>
    <sheet name="Comparison 3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8" i="3" l="1"/>
  <c r="L16" i="3"/>
  <c r="L19" i="2"/>
  <c r="L17" i="2"/>
  <c r="L13" i="2"/>
  <c r="L15" i="2" s="1"/>
  <c r="M30" i="1"/>
  <c r="M28" i="1"/>
  <c r="M26" i="1"/>
  <c r="M24" i="1"/>
</calcChain>
</file>

<file path=xl/sharedStrings.xml><?xml version="1.0" encoding="utf-8"?>
<sst xmlns="http://schemas.openxmlformats.org/spreadsheetml/2006/main" count="72" uniqueCount="58">
  <si>
    <t>Date/Hour:</t>
  </si>
  <si>
    <t xml:space="preserve"> </t>
  </si>
  <si>
    <r>
      <rPr>
        <b/>
        <sz val="30"/>
        <color theme="1"/>
        <rFont val="Aptos Narrow"/>
        <family val="2"/>
        <scheme val="minor"/>
      </rPr>
      <t>Thermal Energy Balance Method</t>
    </r>
    <r>
      <rPr>
        <b/>
        <sz val="30"/>
        <color theme="0"/>
        <rFont val="Aptos Narrow"/>
        <family val="2"/>
        <scheme val="minor"/>
      </rPr>
      <t xml:space="preserve"> </t>
    </r>
  </si>
  <si>
    <t>Brief Description:</t>
  </si>
  <si>
    <t xml:space="preserve">Calculates the hourly heating or cooling load using the heat transfer rate and          </t>
  </si>
  <si>
    <t xml:space="preserve"> operating time. This method is based on the amount of thermal energy added to     </t>
  </si>
  <si>
    <t xml:space="preserve"> or removed from a space by the heat pump.</t>
  </si>
  <si>
    <t xml:space="preserve">Date Entry by User </t>
  </si>
  <si>
    <t xml:space="preserve">Calculation </t>
  </si>
  <si>
    <t>Condenser Mass Flow Rate (kg/s):</t>
  </si>
  <si>
    <t xml:space="preserve">Qevaporator </t>
  </si>
  <si>
    <t>Condenser Inlet Temperature (°C):</t>
  </si>
  <si>
    <t>Qcondensor</t>
  </si>
  <si>
    <t>Condenser Outlet Temperature (°C):</t>
  </si>
  <si>
    <t>Wcompressor</t>
  </si>
  <si>
    <t>Evaporator Mass Flow Rate (kg/s):</t>
  </si>
  <si>
    <t>Hourly Load</t>
  </si>
  <si>
    <t>Evaporator Inlet Temperature (°C):</t>
  </si>
  <si>
    <t>Evaporator Outlet Temperature (°C):</t>
  </si>
  <si>
    <t>Specific Heat Capacity (Cp):</t>
  </si>
  <si>
    <t>COP-Based Electrical Load Method</t>
  </si>
  <si>
    <t xml:space="preserve">Brief Description: </t>
  </si>
  <si>
    <t>Estimates the electrical energy consumption of the heat pump using the thermal</t>
  </si>
  <si>
    <t>load and the Coefficient of Performance (COP). It relates the useful heating or</t>
  </si>
  <si>
    <t>cooling output to the electrical energy required to produce it.</t>
  </si>
  <si>
    <t>Heating Capacity Qevaporator (kW):</t>
  </si>
  <si>
    <t xml:space="preserve">Calculated COP </t>
  </si>
  <si>
    <t>COP:</t>
  </si>
  <si>
    <t>Final COP</t>
  </si>
  <si>
    <t>Hot side Temp (optional if COP not available):</t>
  </si>
  <si>
    <t>Cold side Temp (optional if COP not available):</t>
  </si>
  <si>
    <t>Electrical Power Measurement Method</t>
  </si>
  <si>
    <t>Calculates hourly energy consumption directly from electrical measurements</t>
  </si>
  <si>
    <t xml:space="preserve">such as voltage and current. Power is determined from electrical inputs and </t>
  </si>
  <si>
    <t>then converted to hourly energy use.</t>
  </si>
  <si>
    <t>Voltage (V):</t>
  </si>
  <si>
    <t>Power (kW)</t>
  </si>
  <si>
    <t>Current (A):</t>
  </si>
  <si>
    <t>Power Factor (optional, if not available enter 1):</t>
  </si>
  <si>
    <t xml:space="preserve">Thermal Energy Balance Method </t>
  </si>
  <si>
    <t xml:space="preserve">Source Used: </t>
  </si>
  <si>
    <t>Comparison:</t>
  </si>
  <si>
    <t>The results of the methdaology match exactly to the values optained by thesis.</t>
  </si>
  <si>
    <t xml:space="preserve">Verification using Thesis Values </t>
  </si>
  <si>
    <t>Verification Using Thesis Values</t>
  </si>
  <si>
    <t xml:space="preserve">This is very close to the thesis value of 630 kWh, the only reason it’s 617.6 kWh </t>
  </si>
  <si>
    <t xml:space="preserve">is due to the  rounding of the COP. The percentage of error for this is 1.97%. </t>
  </si>
  <si>
    <t>Source Used:</t>
  </si>
  <si>
    <t xml:space="preserve">Verification using the measured </t>
  </si>
  <si>
    <t>Heat Pump Values for Heating Stage 1</t>
  </si>
  <si>
    <t xml:space="preserve">Comparison: </t>
  </si>
  <si>
    <t xml:space="preserve"> This is close to the value presented by NIST which was 1.46 kWh, </t>
  </si>
  <si>
    <t xml:space="preserve">giving a percent error of 1.7 %.  </t>
  </si>
  <si>
    <t xml:space="preserve">Physics-based Modeling and Control of a Heat Pump for District </t>
  </si>
  <si>
    <t xml:space="preserve">Physics-based Modeling and Control of a Heat Pump for District Heating </t>
  </si>
  <si>
    <t xml:space="preserve">(Ard de Reus, 2022), Section Used: Chapter 5, Page 37 </t>
  </si>
  <si>
    <t xml:space="preserve">Heating (Ard de Reus, 2022), Section Used: Chapter 5, Page 37 </t>
  </si>
  <si>
    <t>NIST Technical Note NIST TN 2249 (Farhad Omar, 2023), Section Used: Chapter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</si>
</sst>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30"/>
      <color theme="0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.5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78">
    <border>
      <left/>
      <right/>
      <top/>
      <bottom/>
      <diagonal/>
    </border>
    <border>
      <left/>
      <right/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9" tint="-0.499984740745262"/>
      </right>
      <top style="medium">
        <color theme="9" tint="-0.499984740745262"/>
      </top>
      <bottom style="medium">
        <color theme="7" tint="-0.249977111117893"/>
      </bottom>
      <diagonal/>
    </border>
    <border>
      <left style="medium">
        <color theme="9" tint="-0.499984740745262"/>
      </left>
      <right style="medium">
        <color theme="7" tint="-0.249977111117893"/>
      </right>
      <top style="medium">
        <color theme="9" tint="-0.499984740745262"/>
      </top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/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9" tint="-0.499984740745262"/>
      </right>
      <top style="medium">
        <color theme="7" tint="-0.249977111117893"/>
      </top>
      <bottom style="medium">
        <color theme="9" tint="-0.499984740745262"/>
      </bottom>
      <diagonal/>
    </border>
    <border>
      <left style="medium">
        <color theme="9" tint="-0.499984740745262"/>
      </left>
      <right style="medium">
        <color theme="7" tint="-0.249977111117893"/>
      </right>
      <top style="medium">
        <color theme="7" tint="-0.249977111117893"/>
      </top>
      <bottom style="medium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7" tint="-0.249977111117893"/>
      </top>
      <bottom style="medium">
        <color theme="9" tint="-0.499984740745262"/>
      </bottom>
      <diagonal/>
    </border>
    <border>
      <left style="medium">
        <color theme="8" tint="-0.249977111117893"/>
      </left>
      <right/>
      <top/>
      <bottom/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8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8" tint="-0.249977111117893"/>
      </bottom>
      <diagonal/>
    </border>
    <border>
      <left style="medium">
        <color theme="7" tint="-0.249977111117893"/>
      </left>
      <right style="medium">
        <color theme="8" tint="-0.249977111117893"/>
      </right>
      <top style="medium">
        <color theme="7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 style="medium">
        <color theme="7" tint="-0.249977111117893"/>
      </left>
      <right style="medium">
        <color theme="8" tint="-0.249977111117893"/>
      </right>
      <top/>
      <bottom style="medium">
        <color theme="7" tint="-0.249977111117893"/>
      </bottom>
      <diagonal/>
    </border>
    <border>
      <left style="medium">
        <color theme="8" tint="-0.249977111117893"/>
      </left>
      <right style="medium">
        <color theme="7" tint="-0.249977111117893"/>
      </right>
      <top style="medium">
        <color theme="8" tint="-0.249977111117893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7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/>
      <bottom/>
      <diagonal/>
    </border>
    <border>
      <left style="medium">
        <color theme="7" tint="-0.249977111117893"/>
      </left>
      <right/>
      <top style="medium">
        <color theme="8" tint="-0.249977111117893"/>
      </top>
      <bottom style="medium">
        <color theme="7" tint="-0.249977111117893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8" tint="-0.249977111117893"/>
      </bottom>
      <diagonal/>
    </border>
    <border>
      <left/>
      <right/>
      <top/>
      <bottom style="medium">
        <color theme="6" tint="-0.499984740745262"/>
      </bottom>
      <diagonal/>
    </border>
    <border>
      <left/>
      <right style="medium">
        <color theme="8" tint="-0.249977111117893"/>
      </right>
      <top/>
      <bottom style="medium">
        <color theme="6" tint="-0.499984740745262"/>
      </bottom>
      <diagonal/>
    </border>
    <border>
      <left/>
      <right/>
      <top style="medium">
        <color theme="6" tint="-0.499984740745262"/>
      </top>
      <bottom/>
      <diagonal/>
    </border>
    <border>
      <left/>
      <right style="medium">
        <color theme="8" tint="-0.249977111117893"/>
      </right>
      <top style="medium">
        <color theme="6" tint="-0.499984740745262"/>
      </top>
      <bottom/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 style="medium">
        <color theme="6" tint="-0.499984740745262"/>
      </left>
      <right/>
      <top/>
      <bottom/>
      <diagonal/>
    </border>
    <border>
      <left style="medium">
        <color theme="6" tint="-0.499984740745262"/>
      </left>
      <right/>
      <top/>
      <bottom style="medium">
        <color theme="6" tint="-0.499984740745262"/>
      </bottom>
      <diagonal/>
    </border>
    <border>
      <left/>
      <right style="medium">
        <color theme="6" tint="-0.499984740745262"/>
      </right>
      <top style="medium">
        <color theme="6" tint="-0.499984740745262"/>
      </top>
      <bottom/>
      <diagonal/>
    </border>
    <border>
      <left/>
      <right style="medium">
        <color theme="6" tint="-0.499984740745262"/>
      </right>
      <top/>
      <bottom style="medium">
        <color theme="6" tint="-0.499984740745262"/>
      </bottom>
      <diagonal/>
    </border>
    <border>
      <left/>
      <right style="medium">
        <color theme="6" tint="-0.499984740745262"/>
      </right>
      <top/>
      <bottom/>
      <diagonal/>
    </border>
    <border>
      <left style="medium">
        <color theme="4" tint="-0.249977111117893"/>
      </left>
      <right/>
      <top/>
      <bottom/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 style="medium">
        <color theme="8"/>
      </top>
      <bottom/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xfId="0"/>
    <xf numFmtId="0" fontId="0" fillId="4" borderId="0" xfId="0" applyFill="1"/>
    <xf numFmtId="0" fontId="2" fillId="4" borderId="0" xfId="0" applyFont="1" applyFill="1"/>
    <xf numFmtId="0" fontId="2" fillId="0" borderId="0" xfId="0" applyFont="1"/>
    <xf numFmtId="0" fontId="1" fillId="0" borderId="0" xfId="0" applyFont="1"/>
    <xf numFmtId="0" fontId="5" fillId="0" borderId="0" xfId="0" applyFont="1"/>
    <xf numFmtId="0" fontId="0" fillId="4" borderId="2" xfId="0" applyFill="1" applyBorder="1"/>
    <xf numFmtId="0" fontId="0" fillId="0" borderId="46" xfId="0" applyBorder="1"/>
    <xf numFmtId="0" fontId="0" fillId="4" borderId="13" xfId="0" applyFill="1" applyBorder="1"/>
    <xf numFmtId="0" fontId="1" fillId="4" borderId="0" xfId="0" applyFont="1" applyFill="1"/>
    <xf numFmtId="0" fontId="1" fillId="4" borderId="20" xfId="0" applyFont="1" applyFill="1" applyBorder="1"/>
    <xf numFmtId="0" fontId="5" fillId="4" borderId="0" xfId="0" applyFont="1" applyFill="1"/>
    <xf numFmtId="0" fontId="1" fillId="4" borderId="0" xfId="0" applyFont="1" applyFill="1" applyAlignment="1">
      <alignment wrapText="1"/>
    </xf>
    <xf numFmtId="0" fontId="0" fillId="4" borderId="38" xfId="0" applyFill="1" applyBorder="1"/>
    <xf numFmtId="0" fontId="9" fillId="5" borderId="45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5" borderId="44" xfId="0" applyFont="1" applyFill="1" applyBorder="1" applyAlignment="1">
      <alignment horizontal="center"/>
    </xf>
    <xf numFmtId="0" fontId="9" fillId="5" borderId="46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47" xfId="0" applyFont="1" applyFill="1" applyBorder="1" applyAlignment="1">
      <alignment horizontal="center"/>
    </xf>
    <xf numFmtId="0" fontId="9" fillId="5" borderId="41" xfId="0" applyFont="1" applyFill="1" applyBorder="1" applyAlignment="1">
      <alignment horizontal="center"/>
    </xf>
    <xf numFmtId="0" fontId="9" fillId="5" borderId="42" xfId="0" applyFont="1" applyFill="1" applyBorder="1" applyAlignment="1">
      <alignment horizontal="center"/>
    </xf>
    <xf numFmtId="0" fontId="6" fillId="5" borderId="45" xfId="0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3" xfId="0" applyFont="1" applyFill="1" applyBorder="1"/>
    <xf numFmtId="0" fontId="1" fillId="2" borderId="1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3" fillId="2" borderId="45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0" fontId="3" fillId="2" borderId="47" xfId="0" applyFont="1" applyFill="1" applyBorder="1" applyAlignment="1">
      <alignment horizontal="center" vertical="top"/>
    </xf>
    <xf numFmtId="0" fontId="3" fillId="2" borderId="41" xfId="0" applyFont="1" applyFill="1" applyBorder="1" applyAlignment="1">
      <alignment horizontal="center" vertical="top"/>
    </xf>
    <xf numFmtId="0" fontId="3" fillId="2" borderId="49" xfId="0" applyFont="1" applyFill="1" applyBorder="1" applyAlignment="1">
      <alignment horizontal="center" vertical="top"/>
    </xf>
    <xf numFmtId="0" fontId="3" fillId="4" borderId="0" xfId="0" applyFont="1" applyFill="1" applyAlignment="1">
      <alignment horizontal="left" vertical="top"/>
    </xf>
    <xf numFmtId="0" fontId="3" fillId="2" borderId="4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0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3" borderId="20" xfId="0" applyFont="1" applyFill="1" applyBorder="1"/>
    <xf numFmtId="0" fontId="5" fillId="3" borderId="9" xfId="0" applyFont="1" applyFill="1" applyBorder="1"/>
    <xf numFmtId="0" fontId="5" fillId="3" borderId="19" xfId="0" applyFont="1" applyFill="1" applyBorder="1"/>
    <xf numFmtId="0" fontId="5" fillId="3" borderId="15" xfId="0" applyFont="1" applyFill="1" applyBorder="1"/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3" borderId="0" xfId="0" applyFont="1" applyFill="1"/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15" xfId="0" applyFont="1" applyFill="1" applyBorder="1" applyAlignment="1">
      <alignment horizontal="center" wrapText="1"/>
    </xf>
    <xf numFmtId="0" fontId="5" fillId="3" borderId="13" xfId="0" applyFont="1" applyFill="1" applyBorder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16" xfId="0" applyFont="1" applyFill="1" applyBorder="1"/>
    <xf numFmtId="0" fontId="5" fillId="3" borderId="21" xfId="0" applyFont="1" applyFill="1" applyBorder="1"/>
    <xf numFmtId="0" fontId="5" fillId="3" borderId="17" xfId="0" applyFont="1" applyFill="1" applyBorder="1"/>
    <xf numFmtId="0" fontId="5" fillId="3" borderId="10" xfId="0" applyFont="1" applyFill="1" applyBorder="1"/>
    <xf numFmtId="0" fontId="5" fillId="3" borderId="18" xfId="0" applyFont="1" applyFill="1" applyBorder="1"/>
    <xf numFmtId="0" fontId="5" fillId="3" borderId="11" xfId="0" applyFont="1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3" borderId="56" xfId="0" applyFont="1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6" fillId="7" borderId="52" xfId="0" applyFont="1" applyFill="1" applyBorder="1" applyAlignment="1">
      <alignment horizontal="center" vertical="center"/>
    </xf>
    <xf numFmtId="0" fontId="6" fillId="7" borderId="53" xfId="0" applyFont="1" applyFill="1" applyBorder="1" applyAlignment="1">
      <alignment horizontal="center" vertical="center"/>
    </xf>
    <xf numFmtId="0" fontId="6" fillId="7" borderId="54" xfId="0" applyFont="1" applyFill="1" applyBorder="1" applyAlignment="1">
      <alignment horizontal="center" vertical="center"/>
    </xf>
    <xf numFmtId="0" fontId="6" fillId="7" borderId="56" xfId="0" applyFont="1" applyFill="1" applyBorder="1" applyAlignment="1">
      <alignment horizontal="center" vertical="center"/>
    </xf>
    <xf numFmtId="0" fontId="6" fillId="7" borderId="57" xfId="0" applyFont="1" applyFill="1" applyBorder="1" applyAlignment="1">
      <alignment horizontal="center" vertical="center"/>
    </xf>
    <xf numFmtId="0" fontId="6" fillId="7" borderId="58" xfId="0" applyFont="1" applyFill="1" applyBorder="1" applyAlignment="1">
      <alignment horizontal="center" vertical="center"/>
    </xf>
    <xf numFmtId="0" fontId="10" fillId="7" borderId="52" xfId="0" applyFont="1" applyFill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/>
    </xf>
    <xf numFmtId="0" fontId="1" fillId="7" borderId="54" xfId="0" applyFont="1" applyFill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55" xfId="0" applyFont="1" applyFill="1" applyBorder="1" applyAlignment="1">
      <alignment horizontal="center" vertical="center"/>
    </xf>
    <xf numFmtId="0" fontId="1" fillId="7" borderId="56" xfId="0" applyFont="1" applyFill="1" applyBorder="1" applyAlignment="1">
      <alignment horizontal="center" vertical="center"/>
    </xf>
    <xf numFmtId="0" fontId="1" fillId="7" borderId="57" xfId="0" applyFont="1" applyFill="1" applyBorder="1" applyAlignment="1">
      <alignment horizontal="center" vertical="center"/>
    </xf>
    <xf numFmtId="0" fontId="1" fillId="7" borderId="5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3" fillId="3" borderId="5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5" xfId="0" applyFont="1" applyFill="1" applyBorder="1" applyAlignment="1">
      <alignment horizontal="center"/>
    </xf>
    <xf numFmtId="0" fontId="7" fillId="8" borderId="2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8" fillId="8" borderId="23" xfId="0" applyFont="1" applyFill="1" applyBorder="1" applyAlignment="1">
      <alignment horizontal="center"/>
    </xf>
    <xf numFmtId="0" fontId="5" fillId="9" borderId="23" xfId="0" applyFont="1" applyFill="1" applyBorder="1" applyAlignment="1">
      <alignment horizontal="left"/>
    </xf>
    <xf numFmtId="0" fontId="5" fillId="9" borderId="24" xfId="0" applyFont="1" applyFill="1" applyBorder="1" applyAlignment="1">
      <alignment horizontal="left"/>
    </xf>
    <xf numFmtId="0" fontId="5" fillId="9" borderId="25" xfId="0" applyFont="1" applyFill="1" applyBorder="1" applyAlignment="1">
      <alignment horizontal="left"/>
    </xf>
    <xf numFmtId="0" fontId="5" fillId="9" borderId="22" xfId="0" applyFont="1" applyFill="1" applyBorder="1" applyAlignment="1">
      <alignment horizontal="left"/>
    </xf>
    <xf numFmtId="0" fontId="5" fillId="9" borderId="0" xfId="0" applyFont="1" applyFill="1" applyAlignment="1">
      <alignment horizontal="left"/>
    </xf>
    <xf numFmtId="0" fontId="5" fillId="9" borderId="26" xfId="0" applyFont="1" applyFill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25" xfId="0" applyFont="1" applyFill="1" applyBorder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1" fillId="9" borderId="26" xfId="0" applyFont="1" applyFill="1" applyBorder="1" applyAlignment="1">
      <alignment horizontal="center"/>
    </xf>
    <xf numFmtId="0" fontId="5" fillId="9" borderId="23" xfId="0" applyFont="1" applyFill="1" applyBorder="1"/>
    <xf numFmtId="0" fontId="5" fillId="9" borderId="24" xfId="0" applyFont="1" applyFill="1" applyBorder="1"/>
    <xf numFmtId="0" fontId="5" fillId="9" borderId="25" xfId="0" applyFont="1" applyFill="1" applyBorder="1"/>
    <xf numFmtId="0" fontId="5" fillId="9" borderId="32" xfId="0" applyFont="1" applyFill="1" applyBorder="1"/>
    <xf numFmtId="0" fontId="5" fillId="9" borderId="33" xfId="0" applyFont="1" applyFill="1" applyBorder="1"/>
    <xf numFmtId="0" fontId="5" fillId="9" borderId="34" xfId="0" applyFont="1" applyFill="1" applyBorder="1"/>
    <xf numFmtId="0" fontId="0" fillId="0" borderId="2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9" borderId="36" xfId="0" applyFont="1" applyFill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0" fontId="1" fillId="9" borderId="27" xfId="0" applyFont="1" applyFill="1" applyBorder="1" applyAlignment="1">
      <alignment horizontal="center"/>
    </xf>
    <xf numFmtId="0" fontId="1" fillId="9" borderId="40" xfId="0" applyFont="1" applyFill="1" applyBorder="1" applyAlignment="1">
      <alignment horizontal="center"/>
    </xf>
    <xf numFmtId="0" fontId="5" fillId="9" borderId="30" xfId="0" applyFont="1" applyFill="1" applyBorder="1"/>
    <xf numFmtId="0" fontId="5" fillId="9" borderId="31" xfId="0" applyFont="1" applyFill="1" applyBorder="1"/>
    <xf numFmtId="0" fontId="5" fillId="9" borderId="35" xfId="0" applyFont="1" applyFill="1" applyBorder="1"/>
    <xf numFmtId="0" fontId="5" fillId="9" borderId="27" xfId="0" applyFont="1" applyFill="1" applyBorder="1"/>
    <xf numFmtId="0" fontId="5" fillId="9" borderId="28" xfId="0" applyFont="1" applyFill="1" applyBorder="1"/>
    <xf numFmtId="0" fontId="5" fillId="9" borderId="29" xfId="0" applyFont="1" applyFill="1" applyBorder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10" fillId="8" borderId="60" xfId="0" applyFont="1" applyFill="1" applyBorder="1" applyAlignment="1">
      <alignment horizontal="center" vertical="center"/>
    </xf>
    <xf numFmtId="0" fontId="0" fillId="8" borderId="59" xfId="0" applyFill="1" applyBorder="1" applyAlignment="1">
      <alignment horizontal="center" vertical="center"/>
    </xf>
    <xf numFmtId="0" fontId="0" fillId="8" borderId="61" xfId="0" applyFill="1" applyBorder="1" applyAlignment="1">
      <alignment horizontal="center" vertical="center"/>
    </xf>
    <xf numFmtId="0" fontId="0" fillId="8" borderId="6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3" xfId="0" applyFill="1" applyBorder="1" applyAlignment="1">
      <alignment horizontal="center" vertical="center"/>
    </xf>
    <xf numFmtId="0" fontId="0" fillId="8" borderId="64" xfId="0" applyFill="1" applyBorder="1" applyAlignment="1">
      <alignment horizontal="center" vertical="center"/>
    </xf>
    <xf numFmtId="0" fontId="0" fillId="8" borderId="65" xfId="0" applyFill="1" applyBorder="1" applyAlignment="1">
      <alignment horizontal="center" vertical="center"/>
    </xf>
    <xf numFmtId="0" fontId="0" fillId="8" borderId="66" xfId="0" applyFill="1" applyBorder="1" applyAlignment="1">
      <alignment horizontal="center" vertical="center"/>
    </xf>
    <xf numFmtId="0" fontId="6" fillId="8" borderId="60" xfId="0" applyFont="1" applyFill="1" applyBorder="1" applyAlignment="1">
      <alignment horizontal="center" vertical="center"/>
    </xf>
    <xf numFmtId="0" fontId="6" fillId="8" borderId="59" xfId="0" applyFont="1" applyFill="1" applyBorder="1" applyAlignment="1">
      <alignment horizontal="center" vertical="center"/>
    </xf>
    <xf numFmtId="0" fontId="6" fillId="8" borderId="64" xfId="0" applyFont="1" applyFill="1" applyBorder="1" applyAlignment="1">
      <alignment horizontal="center" vertical="center"/>
    </xf>
    <xf numFmtId="0" fontId="6" fillId="8" borderId="65" xfId="0" applyFont="1" applyFill="1" applyBorder="1" applyAlignment="1">
      <alignment horizontal="center" vertical="center"/>
    </xf>
    <xf numFmtId="0" fontId="3" fillId="9" borderId="60" xfId="0" applyFont="1" applyFill="1" applyBorder="1" applyAlignment="1">
      <alignment horizontal="center"/>
    </xf>
    <xf numFmtId="0" fontId="3" fillId="9" borderId="59" xfId="0" applyFont="1" applyFill="1" applyBorder="1" applyAlignment="1">
      <alignment horizontal="center"/>
    </xf>
    <xf numFmtId="0" fontId="3" fillId="9" borderId="61" xfId="0" applyFont="1" applyFill="1" applyBorder="1" applyAlignment="1">
      <alignment horizontal="center"/>
    </xf>
    <xf numFmtId="0" fontId="3" fillId="9" borderId="62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63" xfId="0" applyFont="1" applyFill="1" applyBorder="1" applyAlignment="1">
      <alignment horizontal="center"/>
    </xf>
    <xf numFmtId="0" fontId="3" fillId="9" borderId="64" xfId="0" applyFont="1" applyFill="1" applyBorder="1" applyAlignment="1">
      <alignment horizontal="center"/>
    </xf>
    <xf numFmtId="0" fontId="3" fillId="9" borderId="65" xfId="0" applyFont="1" applyFill="1" applyBorder="1" applyAlignment="1">
      <alignment horizontal="center"/>
    </xf>
    <xf numFmtId="0" fontId="3" fillId="9" borderId="66" xfId="0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11" fillId="5" borderId="68" xfId="0" applyFont="1" applyFill="1" applyBorder="1" applyAlignment="1">
      <alignment horizontal="center"/>
    </xf>
    <xf numFmtId="0" fontId="0" fillId="5" borderId="69" xfId="0" applyFill="1" applyBorder="1" applyAlignment="1">
      <alignment horizontal="center"/>
    </xf>
    <xf numFmtId="0" fontId="0" fillId="5" borderId="70" xfId="0" applyFill="1" applyBorder="1" applyAlignment="1">
      <alignment horizontal="center"/>
    </xf>
    <xf numFmtId="0" fontId="0" fillId="5" borderId="7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72" xfId="0" applyFill="1" applyBorder="1" applyAlignment="1">
      <alignment horizontal="center"/>
    </xf>
    <xf numFmtId="0" fontId="0" fillId="5" borderId="73" xfId="0" applyFill="1" applyBorder="1" applyAlignment="1">
      <alignment horizontal="center"/>
    </xf>
    <xf numFmtId="0" fontId="0" fillId="5" borderId="74" xfId="0" applyFill="1" applyBorder="1" applyAlignment="1">
      <alignment horizontal="center"/>
    </xf>
    <xf numFmtId="0" fontId="0" fillId="5" borderId="75" xfId="0" applyFill="1" applyBorder="1" applyAlignment="1">
      <alignment horizontal="center"/>
    </xf>
    <xf numFmtId="0" fontId="12" fillId="5" borderId="68" xfId="0" applyFont="1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6" fillId="5" borderId="68" xfId="0" applyFont="1" applyFill="1" applyBorder="1" applyAlignment="1">
      <alignment horizontal="center" vertical="center"/>
    </xf>
    <xf numFmtId="0" fontId="6" fillId="5" borderId="70" xfId="0" applyFont="1" applyFill="1" applyBorder="1" applyAlignment="1">
      <alignment horizontal="center" vertical="center"/>
    </xf>
    <xf numFmtId="0" fontId="6" fillId="5" borderId="73" xfId="0" applyFont="1" applyFill="1" applyBorder="1" applyAlignment="1">
      <alignment horizontal="center" vertical="center"/>
    </xf>
    <xf numFmtId="0" fontId="6" fillId="5" borderId="75" xfId="0" applyFont="1" applyFill="1" applyBorder="1" applyAlignment="1">
      <alignment horizontal="center" vertical="center"/>
    </xf>
    <xf numFmtId="0" fontId="13" fillId="2" borderId="69" xfId="0" applyFont="1" applyFill="1" applyBorder="1" applyAlignment="1">
      <alignment horizontal="left"/>
    </xf>
    <xf numFmtId="0" fontId="13" fillId="2" borderId="70" xfId="0" applyFont="1" applyFill="1" applyBorder="1" applyAlignment="1">
      <alignment horizontal="left"/>
    </xf>
    <xf numFmtId="0" fontId="14" fillId="2" borderId="68" xfId="0" applyFont="1" applyFill="1" applyBorder="1" applyAlignment="1">
      <alignment horizontal="center" vertical="center" wrapText="1"/>
    </xf>
    <xf numFmtId="0" fontId="14" fillId="2" borderId="69" xfId="0" applyFont="1" applyFill="1" applyBorder="1" applyAlignment="1">
      <alignment horizontal="center" vertical="center"/>
    </xf>
    <xf numFmtId="0" fontId="14" fillId="2" borderId="70" xfId="0" applyFont="1" applyFill="1" applyBorder="1" applyAlignment="1">
      <alignment horizontal="center" vertical="center"/>
    </xf>
    <xf numFmtId="0" fontId="14" fillId="2" borderId="73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/>
    </xf>
    <xf numFmtId="0" fontId="14" fillId="2" borderId="75" xfId="0" applyFont="1" applyFill="1" applyBorder="1" applyAlignment="1">
      <alignment horizontal="center" vertical="center"/>
    </xf>
    <xf numFmtId="0" fontId="0" fillId="4" borderId="0" xfId="0" applyFill="1" applyAlignment="1">
      <alignment wrapText="1"/>
    </xf>
    <xf numFmtId="0" fontId="0" fillId="4" borderId="0" xfId="0" applyFill="1" applyAlignment="1"/>
    <xf numFmtId="0" fontId="10" fillId="7" borderId="68" xfId="0" applyFont="1" applyFill="1" applyBorder="1" applyAlignment="1">
      <alignment horizontal="center"/>
    </xf>
    <xf numFmtId="0" fontId="0" fillId="7" borderId="69" xfId="0" applyFill="1" applyBorder="1" applyAlignment="1">
      <alignment horizontal="center"/>
    </xf>
    <xf numFmtId="0" fontId="0" fillId="7" borderId="70" xfId="0" applyFill="1" applyBorder="1" applyAlignment="1">
      <alignment horizontal="center"/>
    </xf>
    <xf numFmtId="0" fontId="0" fillId="7" borderId="71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72" xfId="0" applyFill="1" applyBorder="1" applyAlignment="1">
      <alignment horizontal="center"/>
    </xf>
    <xf numFmtId="0" fontId="0" fillId="7" borderId="73" xfId="0" applyFill="1" applyBorder="1" applyAlignment="1">
      <alignment horizontal="center"/>
    </xf>
    <xf numFmtId="0" fontId="0" fillId="7" borderId="74" xfId="0" applyFill="1" applyBorder="1" applyAlignment="1">
      <alignment horizontal="center"/>
    </xf>
    <xf numFmtId="0" fontId="0" fillId="7" borderId="75" xfId="0" applyFill="1" applyBorder="1" applyAlignment="1">
      <alignment horizontal="center"/>
    </xf>
    <xf numFmtId="0" fontId="15" fillId="7" borderId="68" xfId="0" applyFont="1" applyFill="1" applyBorder="1" applyAlignment="1">
      <alignment horizontal="center"/>
    </xf>
    <xf numFmtId="0" fontId="15" fillId="7" borderId="69" xfId="0" applyFont="1" applyFill="1" applyBorder="1" applyAlignment="1">
      <alignment horizontal="center"/>
    </xf>
    <xf numFmtId="0" fontId="15" fillId="7" borderId="73" xfId="0" applyFont="1" applyFill="1" applyBorder="1" applyAlignment="1">
      <alignment horizontal="center"/>
    </xf>
    <xf numFmtId="0" fontId="15" fillId="7" borderId="74" xfId="0" applyFont="1" applyFill="1" applyBorder="1" applyAlignment="1">
      <alignment horizontal="center"/>
    </xf>
    <xf numFmtId="0" fontId="7" fillId="7" borderId="68" xfId="0" applyFont="1" applyFill="1" applyBorder="1" applyAlignment="1">
      <alignment horizontal="center"/>
    </xf>
    <xf numFmtId="0" fontId="7" fillId="7" borderId="69" xfId="0" applyFont="1" applyFill="1" applyBorder="1" applyAlignment="1">
      <alignment horizontal="center"/>
    </xf>
    <xf numFmtId="0" fontId="7" fillId="7" borderId="70" xfId="0" applyFont="1" applyFill="1" applyBorder="1" applyAlignment="1">
      <alignment horizontal="center"/>
    </xf>
    <xf numFmtId="0" fontId="7" fillId="7" borderId="73" xfId="0" applyFont="1" applyFill="1" applyBorder="1" applyAlignment="1">
      <alignment horizontal="center"/>
    </xf>
    <xf numFmtId="0" fontId="7" fillId="7" borderId="74" xfId="0" applyFont="1" applyFill="1" applyBorder="1" applyAlignment="1">
      <alignment horizontal="center"/>
    </xf>
    <xf numFmtId="0" fontId="7" fillId="7" borderId="75" xfId="0" applyFont="1" applyFill="1" applyBorder="1" applyAlignment="1">
      <alignment horizontal="center"/>
    </xf>
    <xf numFmtId="0" fontId="0" fillId="4" borderId="71" xfId="0" applyFill="1" applyBorder="1"/>
    <xf numFmtId="0" fontId="0" fillId="4" borderId="0" xfId="0" applyFill="1" applyBorder="1"/>
    <xf numFmtId="0" fontId="0" fillId="4" borderId="72" xfId="0" applyFill="1" applyBorder="1"/>
    <xf numFmtId="0" fontId="0" fillId="4" borderId="73" xfId="0" applyFill="1" applyBorder="1"/>
    <xf numFmtId="0" fontId="0" fillId="4" borderId="74" xfId="0" applyFill="1" applyBorder="1"/>
    <xf numFmtId="0" fontId="0" fillId="4" borderId="75" xfId="0" applyFill="1" applyBorder="1"/>
    <xf numFmtId="0" fontId="0" fillId="4" borderId="68" xfId="0" applyFill="1" applyBorder="1" applyAlignment="1">
      <alignment horizontal="center"/>
    </xf>
    <xf numFmtId="0" fontId="0" fillId="4" borderId="70" xfId="0" applyFill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4" borderId="72" xfId="0" applyFill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0" fillId="4" borderId="74" xfId="0" applyFill="1" applyBorder="1" applyAlignment="1">
      <alignment horizontal="center"/>
    </xf>
    <xf numFmtId="0" fontId="0" fillId="4" borderId="75" xfId="0" applyFill="1" applyBorder="1" applyAlignment="1">
      <alignment horizontal="center"/>
    </xf>
    <xf numFmtId="0" fontId="6" fillId="7" borderId="68" xfId="0" applyFont="1" applyFill="1" applyBorder="1" applyAlignment="1">
      <alignment horizontal="center" vertical="center"/>
    </xf>
    <xf numFmtId="0" fontId="6" fillId="7" borderId="73" xfId="0" applyFont="1" applyFill="1" applyBorder="1" applyAlignment="1">
      <alignment horizontal="center" vertical="center"/>
    </xf>
    <xf numFmtId="0" fontId="6" fillId="7" borderId="69" xfId="0" applyFont="1" applyFill="1" applyBorder="1" applyAlignment="1">
      <alignment horizontal="center" vertical="center"/>
    </xf>
    <xf numFmtId="0" fontId="6" fillId="7" borderId="74" xfId="0" applyFont="1" applyFill="1" applyBorder="1" applyAlignment="1">
      <alignment horizontal="center" vertical="center"/>
    </xf>
    <xf numFmtId="0" fontId="13" fillId="3" borderId="68" xfId="0" applyFont="1" applyFill="1" applyBorder="1" applyAlignment="1">
      <alignment horizontal="center" vertical="center"/>
    </xf>
    <xf numFmtId="0" fontId="13" fillId="3" borderId="69" xfId="0" applyFont="1" applyFill="1" applyBorder="1" applyAlignment="1">
      <alignment horizontal="center" vertical="center"/>
    </xf>
    <xf numFmtId="0" fontId="13" fillId="3" borderId="70" xfId="0" applyFont="1" applyFill="1" applyBorder="1" applyAlignment="1">
      <alignment horizontal="center" vertical="center"/>
    </xf>
    <xf numFmtId="0" fontId="13" fillId="3" borderId="71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72" xfId="0" applyFont="1" applyFill="1" applyBorder="1" applyAlignment="1">
      <alignment horizontal="center" vertical="center"/>
    </xf>
    <xf numFmtId="0" fontId="13" fillId="3" borderId="73" xfId="0" applyFont="1" applyFill="1" applyBorder="1" applyAlignment="1">
      <alignment horizontal="center" wrapText="1"/>
    </xf>
    <xf numFmtId="0" fontId="13" fillId="3" borderId="74" xfId="0" applyFont="1" applyFill="1" applyBorder="1" applyAlignment="1">
      <alignment horizontal="center" wrapText="1"/>
    </xf>
    <xf numFmtId="0" fontId="13" fillId="3" borderId="75" xfId="0" applyFont="1" applyFill="1" applyBorder="1" applyAlignment="1">
      <alignment horizontal="center" wrapText="1"/>
    </xf>
    <xf numFmtId="0" fontId="10" fillId="8" borderId="68" xfId="0" applyFont="1" applyFill="1" applyBorder="1" applyAlignment="1">
      <alignment horizontal="center" vertical="center"/>
    </xf>
    <xf numFmtId="0" fontId="10" fillId="8" borderId="69" xfId="0" applyFont="1" applyFill="1" applyBorder="1" applyAlignment="1">
      <alignment horizontal="center" vertical="center"/>
    </xf>
    <xf numFmtId="0" fontId="10" fillId="8" borderId="70" xfId="0" applyFont="1" applyFill="1" applyBorder="1" applyAlignment="1">
      <alignment horizontal="center" vertical="center"/>
    </xf>
    <xf numFmtId="0" fontId="10" fillId="8" borderId="71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10" fillId="8" borderId="72" xfId="0" applyFont="1" applyFill="1" applyBorder="1" applyAlignment="1">
      <alignment horizontal="center" vertical="center"/>
    </xf>
    <xf numFmtId="0" fontId="10" fillId="8" borderId="73" xfId="0" applyFont="1" applyFill="1" applyBorder="1" applyAlignment="1">
      <alignment horizontal="center" vertical="center"/>
    </xf>
    <xf numFmtId="0" fontId="10" fillId="8" borderId="74" xfId="0" applyFont="1" applyFill="1" applyBorder="1" applyAlignment="1">
      <alignment horizontal="center" vertical="center"/>
    </xf>
    <xf numFmtId="0" fontId="10" fillId="8" borderId="75" xfId="0" applyFont="1" applyFill="1" applyBorder="1" applyAlignment="1">
      <alignment horizontal="center" vertical="center"/>
    </xf>
    <xf numFmtId="0" fontId="0" fillId="8" borderId="73" xfId="0" applyFill="1" applyBorder="1" applyAlignment="1">
      <alignment horizontal="center"/>
    </xf>
    <xf numFmtId="0" fontId="0" fillId="8" borderId="74" xfId="0" applyFill="1" applyBorder="1" applyAlignment="1">
      <alignment horizontal="center"/>
    </xf>
    <xf numFmtId="0" fontId="0" fillId="8" borderId="75" xfId="0" applyFill="1" applyBorder="1" applyAlignment="1">
      <alignment horizontal="center"/>
    </xf>
    <xf numFmtId="0" fontId="15" fillId="8" borderId="68" xfId="0" applyFont="1" applyFill="1" applyBorder="1" applyAlignment="1">
      <alignment horizontal="center"/>
    </xf>
    <xf numFmtId="0" fontId="15" fillId="8" borderId="69" xfId="0" applyFont="1" applyFill="1" applyBorder="1" applyAlignment="1">
      <alignment horizontal="center"/>
    </xf>
    <xf numFmtId="0" fontId="15" fillId="8" borderId="70" xfId="0" applyFont="1" applyFill="1" applyBorder="1" applyAlignment="1">
      <alignment horizontal="center"/>
    </xf>
    <xf numFmtId="0" fontId="15" fillId="8" borderId="73" xfId="0" applyFont="1" applyFill="1" applyBorder="1" applyAlignment="1">
      <alignment horizontal="center"/>
    </xf>
    <xf numFmtId="0" fontId="15" fillId="8" borderId="74" xfId="0" applyFont="1" applyFill="1" applyBorder="1" applyAlignment="1">
      <alignment horizontal="center"/>
    </xf>
    <xf numFmtId="0" fontId="15" fillId="8" borderId="75" xfId="0" applyFon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5" fillId="8" borderId="71" xfId="0" applyFont="1" applyFill="1" applyBorder="1" applyAlignment="1">
      <alignment horizontal="center"/>
    </xf>
    <xf numFmtId="0" fontId="15" fillId="8" borderId="0" xfId="0" applyFont="1" applyFill="1" applyBorder="1" applyAlignment="1">
      <alignment horizontal="center"/>
    </xf>
    <xf numFmtId="0" fontId="15" fillId="8" borderId="72" xfId="0" applyFont="1" applyFill="1" applyBorder="1" applyAlignment="1">
      <alignment horizontal="center"/>
    </xf>
    <xf numFmtId="0" fontId="6" fillId="8" borderId="68" xfId="0" applyFont="1" applyFill="1" applyBorder="1" applyAlignment="1">
      <alignment horizontal="center" vertical="center"/>
    </xf>
    <xf numFmtId="0" fontId="6" fillId="8" borderId="73" xfId="0" applyFont="1" applyFill="1" applyBorder="1" applyAlignment="1">
      <alignment horizontal="center" vertical="center"/>
    </xf>
    <xf numFmtId="0" fontId="13" fillId="9" borderId="71" xfId="0" applyFont="1" applyFill="1" applyBorder="1" applyAlignment="1">
      <alignment horizontal="left" vertical="center"/>
    </xf>
    <xf numFmtId="0" fontId="6" fillId="8" borderId="69" xfId="0" applyFont="1" applyFill="1" applyBorder="1" applyAlignment="1">
      <alignment horizontal="center" vertical="center"/>
    </xf>
    <xf numFmtId="0" fontId="6" fillId="8" borderId="74" xfId="0" applyFont="1" applyFill="1" applyBorder="1" applyAlignment="1">
      <alignment horizontal="center" vertical="center"/>
    </xf>
    <xf numFmtId="0" fontId="13" fillId="9" borderId="68" xfId="0" applyFont="1" applyFill="1" applyBorder="1" applyAlignment="1">
      <alignment horizontal="left" vertical="center"/>
    </xf>
    <xf numFmtId="0" fontId="13" fillId="9" borderId="69" xfId="0" applyFont="1" applyFill="1" applyBorder="1" applyAlignment="1">
      <alignment horizontal="left" vertical="center"/>
    </xf>
    <xf numFmtId="0" fontId="13" fillId="9" borderId="70" xfId="0" applyFont="1" applyFill="1" applyBorder="1" applyAlignment="1">
      <alignment horizontal="left" vertical="center"/>
    </xf>
    <xf numFmtId="0" fontId="13" fillId="9" borderId="0" xfId="0" applyFont="1" applyFill="1" applyBorder="1" applyAlignment="1">
      <alignment horizontal="left" vertical="center"/>
    </xf>
    <xf numFmtId="0" fontId="13" fillId="9" borderId="72" xfId="0" applyFont="1" applyFill="1" applyBorder="1" applyAlignment="1">
      <alignment horizontal="left" vertical="center"/>
    </xf>
    <xf numFmtId="0" fontId="0" fillId="9" borderId="73" xfId="0" applyFill="1" applyBorder="1" applyAlignment="1">
      <alignment horizontal="center"/>
    </xf>
    <xf numFmtId="0" fontId="0" fillId="9" borderId="74" xfId="0" applyFill="1" applyBorder="1" applyAlignment="1">
      <alignment horizontal="center"/>
    </xf>
    <xf numFmtId="0" fontId="0" fillId="9" borderId="75" xfId="0" applyFill="1" applyBorder="1" applyAlignment="1">
      <alignment horizontal="center"/>
    </xf>
    <xf numFmtId="0" fontId="13" fillId="9" borderId="71" xfId="0" applyFont="1" applyFill="1" applyBorder="1" applyAlignment="1">
      <alignment horizontal="left"/>
    </xf>
    <xf numFmtId="0" fontId="13" fillId="9" borderId="0" xfId="0" applyFont="1" applyFill="1" applyBorder="1" applyAlignment="1">
      <alignment horizontal="left"/>
    </xf>
    <xf numFmtId="0" fontId="13" fillId="9" borderId="72" xfId="0" applyFont="1" applyFill="1" applyBorder="1" applyAlignment="1">
      <alignment horizontal="left"/>
    </xf>
    <xf numFmtId="0" fontId="13" fillId="2" borderId="68" xfId="0" applyFont="1" applyFill="1" applyBorder="1" applyAlignment="1">
      <alignment horizontal="left"/>
    </xf>
    <xf numFmtId="0" fontId="13" fillId="2" borderId="71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3" fillId="2" borderId="72" xfId="0" applyFont="1" applyFill="1" applyBorder="1" applyAlignment="1">
      <alignment horizontal="left"/>
    </xf>
    <xf numFmtId="0" fontId="13" fillId="2" borderId="71" xfId="0" applyFont="1" applyFill="1" applyBorder="1" applyAlignment="1">
      <alignment horizontal="left" vertical="top"/>
    </xf>
    <xf numFmtId="0" fontId="13" fillId="2" borderId="0" xfId="0" applyFont="1" applyFill="1" applyBorder="1" applyAlignment="1">
      <alignment horizontal="left" vertical="top"/>
    </xf>
    <xf numFmtId="0" fontId="13" fillId="2" borderId="72" xfId="0" applyFont="1" applyFill="1" applyBorder="1" applyAlignment="1">
      <alignment horizontal="left" vertical="top"/>
    </xf>
    <xf numFmtId="0" fontId="13" fillId="2" borderId="73" xfId="0" applyFont="1" applyFill="1" applyBorder="1" applyAlignment="1">
      <alignment horizontal="left" vertical="top"/>
    </xf>
    <xf numFmtId="0" fontId="13" fillId="2" borderId="74" xfId="0" applyFont="1" applyFill="1" applyBorder="1" applyAlignment="1">
      <alignment horizontal="left" vertical="top"/>
    </xf>
    <xf numFmtId="0" fontId="13" fillId="2" borderId="75" xfId="0" applyFont="1" applyFill="1" applyBorder="1" applyAlignment="1">
      <alignment horizontal="left" vertical="top"/>
    </xf>
    <xf numFmtId="0" fontId="0" fillId="4" borderId="69" xfId="0" applyFill="1" applyBorder="1" applyAlignment="1"/>
    <xf numFmtId="0" fontId="0" fillId="4" borderId="0" xfId="0" applyFill="1" applyBorder="1" applyAlignment="1"/>
    <xf numFmtId="0" fontId="7" fillId="5" borderId="68" xfId="0" applyFont="1" applyFill="1" applyBorder="1" applyAlignment="1">
      <alignment horizontal="center" vertical="top"/>
    </xf>
    <xf numFmtId="0" fontId="7" fillId="5" borderId="69" xfId="0" applyFont="1" applyFill="1" applyBorder="1" applyAlignment="1">
      <alignment horizontal="center" vertical="top"/>
    </xf>
    <xf numFmtId="0" fontId="7" fillId="5" borderId="70" xfId="0" applyFont="1" applyFill="1" applyBorder="1" applyAlignment="1">
      <alignment horizontal="center" vertical="top"/>
    </xf>
    <xf numFmtId="0" fontId="7" fillId="5" borderId="73" xfId="0" applyFont="1" applyFill="1" applyBorder="1" applyAlignment="1">
      <alignment horizontal="center" vertical="top"/>
    </xf>
    <xf numFmtId="0" fontId="7" fillId="5" borderId="74" xfId="0" applyFont="1" applyFill="1" applyBorder="1" applyAlignment="1">
      <alignment horizontal="center" vertical="top"/>
    </xf>
    <xf numFmtId="0" fontId="7" fillId="5" borderId="75" xfId="0" applyFont="1" applyFill="1" applyBorder="1" applyAlignment="1">
      <alignment horizontal="center" vertical="top"/>
    </xf>
    <xf numFmtId="0" fontId="7" fillId="4" borderId="71" xfId="0" applyFont="1" applyFill="1" applyBorder="1" applyAlignment="1">
      <alignment vertical="top"/>
    </xf>
    <xf numFmtId="0" fontId="7" fillId="4" borderId="0" xfId="0" applyFont="1" applyFill="1" applyBorder="1" applyAlignment="1">
      <alignment vertical="top"/>
    </xf>
    <xf numFmtId="0" fontId="7" fillId="4" borderId="72" xfId="0" applyFont="1" applyFill="1" applyBorder="1" applyAlignment="1">
      <alignment vertical="top"/>
    </xf>
    <xf numFmtId="0" fontId="13" fillId="3" borderId="76" xfId="0" applyFont="1" applyFill="1" applyBorder="1" applyAlignment="1">
      <alignment horizontal="left" vertical="top"/>
    </xf>
    <xf numFmtId="0" fontId="3" fillId="3" borderId="76" xfId="0" applyFont="1" applyFill="1" applyBorder="1" applyAlignment="1">
      <alignment horizontal="left" vertical="top"/>
    </xf>
    <xf numFmtId="0" fontId="13" fillId="3" borderId="67" xfId="0" applyFont="1" applyFill="1" applyBorder="1" applyAlignment="1">
      <alignment horizontal="left"/>
    </xf>
    <xf numFmtId="0" fontId="13" fillId="3" borderId="77" xfId="0" applyFont="1" applyFill="1" applyBorder="1" applyAlignment="1">
      <alignment horizontal="left"/>
    </xf>
    <xf numFmtId="0" fontId="16" fillId="9" borderId="68" xfId="0" applyFont="1" applyFill="1" applyBorder="1" applyAlignment="1">
      <alignment horizontal="center" vertical="center"/>
    </xf>
    <xf numFmtId="0" fontId="16" fillId="9" borderId="69" xfId="0" applyFont="1" applyFill="1" applyBorder="1" applyAlignment="1">
      <alignment horizontal="center" vertical="center"/>
    </xf>
    <xf numFmtId="0" fontId="16" fillId="9" borderId="70" xfId="0" applyFont="1" applyFill="1" applyBorder="1" applyAlignment="1">
      <alignment horizontal="center" vertical="center"/>
    </xf>
    <xf numFmtId="0" fontId="16" fillId="9" borderId="73" xfId="0" applyFont="1" applyFill="1" applyBorder="1" applyAlignment="1">
      <alignment horizontal="center" vertical="center"/>
    </xf>
    <xf numFmtId="0" fontId="16" fillId="9" borderId="74" xfId="0" applyFont="1" applyFill="1" applyBorder="1" applyAlignment="1">
      <alignment horizontal="center" vertical="center"/>
    </xf>
    <xf numFmtId="0" fontId="16" fillId="9" borderId="7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144780</xdr:colOff>
      <xdr:row>13</xdr:row>
      <xdr:rowOff>91441</xdr:rowOff>
    </xdr:from>
    <xdr:to>
      <xdr:col>9</xdr:col>
      <xdr:colOff>520255</xdr:colOff>
      <xdr:row>20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B76F9-6B21-2CEA-3B39-2AC873238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580" y="2468881"/>
          <a:ext cx="4033075" cy="1287779"/>
        </a:xfrm>
        <a:prstGeom prst="rect">
          <a:avLst/>
        </a:prstGeom>
      </xdr:spPr>
    </xdr:pic>
    <xdr:clientData/>
  </xdr:twoCellAnchor>
  <xdr:twoCellAnchor>
    <xdr:from>
      <xdr:col>3</xdr:col>
      <xdr:colOff>91440</xdr:colOff>
      <xdr:row>20</xdr:row>
      <xdr:rowOff>76200</xdr:rowOff>
    </xdr:from>
    <xdr:to>
      <xdr:col>10</xdr:col>
      <xdr:colOff>0</xdr:colOff>
      <xdr:row>21</xdr:row>
      <xdr:rowOff>148590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94DA7C-15AA-459D-955D-1BDA9F4C790B}"/>
            </a:ext>
          </a:extLst>
        </xdr:cNvPr>
        <xdr:cNvSpPr txBox="1"/>
      </xdr:nvSpPr>
      <xdr:spPr>
        <a:xfrm>
          <a:off x="1920240" y="3733800"/>
          <a:ext cx="4175760" cy="2552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Note: </a:t>
          </a:r>
          <a:r>
            <a:rPr lang="en-CA" sz="1100"/>
            <a:t>These</a:t>
          </a:r>
          <a:r>
            <a:rPr lang="en-CA" sz="1100" baseline="0"/>
            <a:t> are the formulas and steps that are used in Methodology 1 </a:t>
          </a:r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228601</xdr:colOff>
      <xdr:row>13</xdr:row>
      <xdr:rowOff>30480</xdr:rowOff>
    </xdr:from>
    <xdr:to>
      <xdr:col>8</xdr:col>
      <xdr:colOff>175260</xdr:colOff>
      <xdr:row>24</xdr:row>
      <xdr:rowOff>140730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FBEB6C-2735-8772-71B8-1471A8871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1" y="2453640"/>
          <a:ext cx="2994659" cy="2121930"/>
        </a:xfrm>
        <a:prstGeom prst="rect">
          <a:avLst/>
        </a:prstGeom>
      </xdr:spPr>
    </xdr:pic>
    <xdr:clientData/>
  </xdr:twoCellAnchor>
  <xdr:twoCellAnchor>
    <xdr:from>
      <xdr:col>2</xdr:col>
      <xdr:colOff>358140</xdr:colOff>
      <xdr:row>24</xdr:row>
      <xdr:rowOff>110490</xdr:rowOff>
    </xdr:from>
    <xdr:to>
      <xdr:col>9</xdr:col>
      <xdr:colOff>579120</xdr:colOff>
      <xdr:row>26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C09D9F-68BA-2EC3-369E-53BC7AEECF4A}"/>
            </a:ext>
          </a:extLst>
        </xdr:cNvPr>
        <xdr:cNvSpPr txBox="1"/>
      </xdr:nvSpPr>
      <xdr:spPr>
        <a:xfrm>
          <a:off x="1577340" y="4545330"/>
          <a:ext cx="4488180" cy="2552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Note: </a:t>
          </a:r>
          <a:r>
            <a:rPr lang="en-CA" sz="1100"/>
            <a:t>These</a:t>
          </a:r>
          <a:r>
            <a:rPr lang="en-CA" sz="1100" baseline="0"/>
            <a:t> are the formulas and steps that are used in Methodology 2 </a:t>
          </a:r>
          <a:endParaRPr lang="en-CA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502921</xdr:colOff>
      <xdr:row>15</xdr:row>
      <xdr:rowOff>33812</xdr:rowOff>
    </xdr:from>
    <xdr:to>
      <xdr:col>9</xdr:col>
      <xdr:colOff>121921</xdr:colOff>
      <xdr:row>26</xdr:row>
      <xdr:rowOff>53485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E84DA-F7CF-5F5B-6A3F-A41D32057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1" y="2777012"/>
          <a:ext cx="3276600" cy="2031353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26</xdr:row>
      <xdr:rowOff>99060</xdr:rowOff>
    </xdr:from>
    <xdr:to>
      <xdr:col>9</xdr:col>
      <xdr:colOff>579120</xdr:colOff>
      <xdr:row>27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541E71-5BCA-498D-9770-3133C9E5171F}"/>
            </a:ext>
          </a:extLst>
        </xdr:cNvPr>
        <xdr:cNvSpPr txBox="1"/>
      </xdr:nvSpPr>
      <xdr:spPr>
        <a:xfrm>
          <a:off x="1866900" y="4853940"/>
          <a:ext cx="4198620" cy="2552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Note: </a:t>
          </a:r>
          <a:r>
            <a:rPr lang="en-CA" sz="1100"/>
            <a:t>These</a:t>
          </a:r>
          <a:r>
            <a:rPr lang="en-CA" sz="1100" baseline="0"/>
            <a:t> are the formulas and steps that are used in Methodology 3</a:t>
          </a:r>
          <a:endParaRPr lang="en-CA" sz="1100"/>
        </a:p>
      </xdr:txBody>
    </xdr:sp>
    <xdr:clientData/>
  </xdr:twoCellAnchor>
  <xdr:twoCellAnchor editAs="oneCell">
    <xdr:from>
      <xdr:col>8</xdr:col>
      <xdr:colOff>49904</xdr:colOff>
      <xdr:row>31</xdr:row>
      <xdr:rowOff>114299</xdr:rowOff>
    </xdr:from>
    <xdr:to>
      <xdr:col>11</xdr:col>
      <xdr:colOff>380999</xdr:colOff>
      <xdr:row>33</xdr:row>
      <xdr:rowOff>122470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7C6E2D-53B6-20A1-5F9A-197E0A967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6704" y="5783579"/>
          <a:ext cx="2159895" cy="389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8C37-6C99-4CD3-98D0-2B06996DFCFE}">
  <dimension ref="B6:P40"/>
  <sheetViews>
    <sheetView topLeftCell="A12" workbookViewId="0">
      <selection activeCell="C11" sqref="C11:O13"/>
    </sheetView>
  </sheetViews>
  <sheetFormatPr defaultRowHeight="14.4" x14ac:dyDescent="0.3"/>
  <sheetData>
    <row r="6" spans="2:16" x14ac:dyDescent="0.3">
      <c r="B6" s="3" t="s">
        <v>0</v>
      </c>
      <c r="C6" s="3"/>
      <c r="D6" s="3"/>
      <c r="E6" s="3"/>
      <c r="F6" s="3"/>
      <c r="G6" s="3"/>
    </row>
    <row r="7" spans="2:16" x14ac:dyDescent="0.3">
      <c r="B7" s="3"/>
      <c r="C7" s="3"/>
      <c r="D7" s="3"/>
      <c r="E7" s="3"/>
      <c r="F7" s="3"/>
      <c r="G7" s="3"/>
    </row>
    <row r="8" spans="2:16" x14ac:dyDescent="0.3">
      <c r="B8" s="3"/>
      <c r="C8" s="3"/>
      <c r="D8" s="3"/>
      <c r="E8" s="3"/>
      <c r="F8" s="3"/>
      <c r="G8" s="3"/>
      <c r="L8" t="s">
        <v>1</v>
      </c>
    </row>
    <row r="9" spans="2:16" x14ac:dyDescent="0.3">
      <c r="B9" s="3"/>
      <c r="C9" s="3"/>
      <c r="D9" s="3"/>
      <c r="E9" s="3"/>
      <c r="F9" s="3"/>
      <c r="G9" s="3"/>
    </row>
    <row r="10" spans="2:16" ht="15" thickBot="1" x14ac:dyDescent="0.35">
      <c r="B10" s="3"/>
      <c r="C10" s="3"/>
      <c r="D10" s="3"/>
      <c r="E10" s="3"/>
      <c r="F10" s="3"/>
      <c r="G10" s="3"/>
    </row>
    <row r="11" spans="2:16" x14ac:dyDescent="0.3">
      <c r="B11" s="3"/>
      <c r="C11" s="14" t="s">
        <v>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</row>
    <row r="12" spans="2:16" x14ac:dyDescent="0.3">
      <c r="B12" s="3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7"/>
    </row>
    <row r="13" spans="2:16" ht="15" thickBot="1" x14ac:dyDescent="0.35">
      <c r="B13" s="3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</row>
    <row r="14" spans="2:16" x14ac:dyDescent="0.3">
      <c r="B14" s="3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</row>
    <row r="15" spans="2:16" ht="15" thickBot="1" x14ac:dyDescent="0.35">
      <c r="B15" s="3"/>
      <c r="C15" s="2"/>
      <c r="D15" s="2"/>
      <c r="E15" s="2"/>
      <c r="F15" s="2"/>
      <c r="G15" s="2"/>
      <c r="H15" s="1"/>
      <c r="I15" s="1"/>
      <c r="J15" s="1"/>
      <c r="K15" s="1"/>
      <c r="L15" s="1"/>
      <c r="M15" s="1"/>
      <c r="N15" s="1"/>
      <c r="O15" s="1"/>
    </row>
    <row r="16" spans="2:16" ht="18" x14ac:dyDescent="0.35">
      <c r="B16" s="3"/>
      <c r="C16" s="22" t="s">
        <v>3</v>
      </c>
      <c r="D16" s="23"/>
      <c r="E16" s="23"/>
      <c r="F16" s="50" t="s">
        <v>4</v>
      </c>
      <c r="G16" s="51"/>
      <c r="H16" s="51"/>
      <c r="I16" s="51"/>
      <c r="J16" s="51"/>
      <c r="K16" s="51"/>
      <c r="L16" s="51"/>
      <c r="M16" s="51"/>
      <c r="N16" s="51"/>
      <c r="O16" s="52"/>
    </row>
    <row r="17" spans="2:15" ht="18.600000000000001" thickBot="1" x14ac:dyDescent="0.4">
      <c r="B17" s="3"/>
      <c r="C17" s="24"/>
      <c r="D17" s="25"/>
      <c r="E17" s="25"/>
      <c r="F17" s="57" t="s">
        <v>5</v>
      </c>
      <c r="G17" s="58"/>
      <c r="H17" s="58"/>
      <c r="I17" s="58"/>
      <c r="J17" s="58"/>
      <c r="K17" s="58"/>
      <c r="L17" s="58"/>
      <c r="M17" s="58"/>
      <c r="N17" s="58"/>
      <c r="O17" s="59"/>
    </row>
    <row r="18" spans="2:15" ht="18.600000000000001" thickBot="1" x14ac:dyDescent="0.35">
      <c r="B18" s="3"/>
      <c r="C18" s="2"/>
      <c r="D18" s="2"/>
      <c r="E18" s="2"/>
      <c r="F18" s="53" t="s">
        <v>6</v>
      </c>
      <c r="G18" s="54"/>
      <c r="H18" s="54"/>
      <c r="I18" s="54"/>
      <c r="J18" s="54"/>
      <c r="K18" s="54"/>
      <c r="L18" s="54"/>
      <c r="M18" s="54"/>
      <c r="N18" s="54"/>
      <c r="O18" s="55"/>
    </row>
    <row r="19" spans="2:15" ht="18" x14ac:dyDescent="0.3">
      <c r="B19" s="3"/>
      <c r="C19" s="2"/>
      <c r="D19" s="2"/>
      <c r="E19" s="2"/>
      <c r="F19" s="56" t="s">
        <v>1</v>
      </c>
      <c r="G19" s="56"/>
      <c r="H19" s="56"/>
      <c r="I19" s="56"/>
      <c r="J19" s="56"/>
      <c r="K19" s="56"/>
      <c r="L19" s="56"/>
      <c r="M19" s="56"/>
      <c r="N19" s="56"/>
      <c r="O19" s="56"/>
    </row>
    <row r="20" spans="2:15" ht="15" thickBot="1" x14ac:dyDescent="0.3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ht="15" thickBot="1" x14ac:dyDescent="0.35">
      <c r="C21" s="1"/>
      <c r="D21" s="66" t="s">
        <v>7</v>
      </c>
      <c r="E21" s="67"/>
      <c r="F21" s="67"/>
      <c r="G21" s="67"/>
      <c r="H21" s="67"/>
      <c r="I21" s="68"/>
      <c r="J21" s="1"/>
      <c r="K21" s="1"/>
      <c r="L21" s="1"/>
      <c r="M21" s="1"/>
      <c r="N21" s="1"/>
      <c r="O21" s="1"/>
    </row>
    <row r="22" spans="2:15" ht="15" thickBot="1" x14ac:dyDescent="0.35">
      <c r="C22" s="1"/>
      <c r="D22" s="69"/>
      <c r="E22" s="70"/>
      <c r="F22" s="70"/>
      <c r="G22" s="70"/>
      <c r="H22" s="70"/>
      <c r="I22" s="71"/>
      <c r="J22" s="6"/>
      <c r="K22" s="60" t="s">
        <v>8</v>
      </c>
      <c r="L22" s="61"/>
      <c r="M22" s="61"/>
      <c r="N22" s="62"/>
      <c r="O22" s="1"/>
    </row>
    <row r="23" spans="2:15" ht="15" thickBot="1" x14ac:dyDescent="0.35">
      <c r="C23" s="1"/>
      <c r="D23" s="44" t="s">
        <v>9</v>
      </c>
      <c r="E23" s="45"/>
      <c r="F23" s="45"/>
      <c r="G23" s="46"/>
      <c r="H23" s="26"/>
      <c r="I23" s="27"/>
      <c r="J23" s="1"/>
      <c r="K23" s="63"/>
      <c r="L23" s="64"/>
      <c r="M23" s="64"/>
      <c r="N23" s="65"/>
      <c r="O23" s="1"/>
    </row>
    <row r="24" spans="2:15" ht="15" thickBot="1" x14ac:dyDescent="0.35">
      <c r="C24" s="1"/>
      <c r="D24" s="47"/>
      <c r="E24" s="48"/>
      <c r="F24" s="48"/>
      <c r="G24" s="49"/>
      <c r="H24" s="28"/>
      <c r="I24" s="29"/>
      <c r="J24" s="1"/>
      <c r="K24" s="36" t="s">
        <v>10</v>
      </c>
      <c r="L24" s="37"/>
      <c r="M24" s="26" t="str">
        <f>IF(OR(H29="",H35="",H31="",H33=""),
   "Input Required",
   IF(OR(NOT(ISNUMBER(H29)),NOT(ISNUMBER(H35)),NOT(ISNUMBER(H31)),NOT(ISNUMBER(H33))),
      "Invalid Input",
      H29*H35*(H31-H33)
   )
)</f>
        <v>Input Required</v>
      </c>
      <c r="N24" s="27"/>
      <c r="O24" s="1"/>
    </row>
    <row r="25" spans="2:15" ht="15" thickBot="1" x14ac:dyDescent="0.35">
      <c r="C25" s="1"/>
      <c r="D25" s="30" t="s">
        <v>11</v>
      </c>
      <c r="E25" s="31"/>
      <c r="F25" s="31"/>
      <c r="G25" s="32"/>
      <c r="H25" s="26"/>
      <c r="I25" s="27"/>
      <c r="J25" s="1"/>
      <c r="K25" s="38"/>
      <c r="L25" s="39"/>
      <c r="M25" s="28"/>
      <c r="N25" s="29"/>
      <c r="O25" s="1"/>
    </row>
    <row r="26" spans="2:15" ht="15" thickBot="1" x14ac:dyDescent="0.35">
      <c r="C26" s="1"/>
      <c r="D26" s="33"/>
      <c r="E26" s="34"/>
      <c r="F26" s="34"/>
      <c r="G26" s="35"/>
      <c r="H26" s="28"/>
      <c r="I26" s="29"/>
      <c r="J26" s="1"/>
      <c r="K26" s="36" t="s">
        <v>12</v>
      </c>
      <c r="L26" s="37"/>
      <c r="M26" s="26" t="str">
        <f>IF(OR(H23="",H35="",H27="",H25=""),
   "Input Required",
   IF(OR(NOT(ISNUMBER(H23)),NOT(ISNUMBER(H35)),NOT(ISNUMBER(H27)),NOT(ISNUMBER(H25))),
      "Invalid Input",
      H23*H35*(H27-H25)
   )
)</f>
        <v>Input Required</v>
      </c>
      <c r="N26" s="27"/>
      <c r="O26" s="1"/>
    </row>
    <row r="27" spans="2:15" ht="15" thickBot="1" x14ac:dyDescent="0.35">
      <c r="C27" s="1"/>
      <c r="D27" s="30" t="s">
        <v>13</v>
      </c>
      <c r="E27" s="31"/>
      <c r="F27" s="31"/>
      <c r="G27" s="32"/>
      <c r="H27" s="26"/>
      <c r="I27" s="27"/>
      <c r="J27" s="1"/>
      <c r="K27" s="38"/>
      <c r="L27" s="39"/>
      <c r="M27" s="28"/>
      <c r="N27" s="29"/>
      <c r="O27" s="1"/>
    </row>
    <row r="28" spans="2:15" ht="15" thickBot="1" x14ac:dyDescent="0.35">
      <c r="C28" s="1"/>
      <c r="D28" s="33"/>
      <c r="E28" s="34"/>
      <c r="F28" s="34"/>
      <c r="G28" s="35"/>
      <c r="H28" s="28"/>
      <c r="I28" s="29"/>
      <c r="J28" s="1"/>
      <c r="K28" s="40" t="s">
        <v>14</v>
      </c>
      <c r="L28" s="41"/>
      <c r="M28" s="26" t="str">
        <f>IF(NOT(ISNUMBER(M24)),M24,IF(NOT(ISNUMBER(M26)),M26,M24-M26))</f>
        <v>Input Required</v>
      </c>
      <c r="N28" s="27"/>
      <c r="O28" s="1"/>
    </row>
    <row r="29" spans="2:15" ht="15" thickBot="1" x14ac:dyDescent="0.35">
      <c r="C29" s="1"/>
      <c r="D29" s="30" t="s">
        <v>15</v>
      </c>
      <c r="E29" s="31"/>
      <c r="F29" s="31"/>
      <c r="G29" s="32"/>
      <c r="H29" s="26"/>
      <c r="I29" s="27"/>
      <c r="J29" s="1"/>
      <c r="K29" s="42"/>
      <c r="L29" s="43"/>
      <c r="M29" s="28"/>
      <c r="N29" s="29"/>
      <c r="O29" s="1"/>
    </row>
    <row r="30" spans="2:15" ht="15" thickBot="1" x14ac:dyDescent="0.35">
      <c r="C30" s="1"/>
      <c r="D30" s="33"/>
      <c r="E30" s="34"/>
      <c r="F30" s="34"/>
      <c r="G30" s="35"/>
      <c r="H30" s="28"/>
      <c r="I30" s="29"/>
      <c r="J30" s="1"/>
      <c r="K30" s="36" t="s">
        <v>16</v>
      </c>
      <c r="L30" s="37"/>
      <c r="M30" s="26" t="str">
        <f>M28</f>
        <v>Input Required</v>
      </c>
      <c r="N30" s="27"/>
      <c r="O30" s="1"/>
    </row>
    <row r="31" spans="2:15" ht="15" thickBot="1" x14ac:dyDescent="0.35">
      <c r="C31" s="1"/>
      <c r="D31" s="30" t="s">
        <v>17</v>
      </c>
      <c r="E31" s="31"/>
      <c r="F31" s="31"/>
      <c r="G31" s="32"/>
      <c r="H31" s="26"/>
      <c r="I31" s="27"/>
      <c r="J31" s="1"/>
      <c r="K31" s="38"/>
      <c r="L31" s="39"/>
      <c r="M31" s="28"/>
      <c r="N31" s="29"/>
      <c r="O31" s="1"/>
    </row>
    <row r="32" spans="2:15" ht="15" thickBot="1" x14ac:dyDescent="0.35">
      <c r="C32" s="1"/>
      <c r="D32" s="33"/>
      <c r="E32" s="34"/>
      <c r="F32" s="34"/>
      <c r="G32" s="35"/>
      <c r="H32" s="28"/>
      <c r="I32" s="29"/>
      <c r="J32" s="1"/>
      <c r="K32" s="1"/>
      <c r="L32" s="1"/>
      <c r="M32" s="1"/>
      <c r="N32" s="1"/>
      <c r="O32" s="1"/>
    </row>
    <row r="33" spans="3:15" x14ac:dyDescent="0.3">
      <c r="C33" s="1"/>
      <c r="D33" s="30" t="s">
        <v>18</v>
      </c>
      <c r="E33" s="31"/>
      <c r="F33" s="31"/>
      <c r="G33" s="32"/>
      <c r="H33" s="26"/>
      <c r="I33" s="27"/>
      <c r="J33" s="1"/>
      <c r="K33" s="1"/>
      <c r="L33" s="1"/>
      <c r="M33" s="1"/>
      <c r="N33" s="1"/>
      <c r="O33" s="1"/>
    </row>
    <row r="34" spans="3:15" ht="15" thickBot="1" x14ac:dyDescent="0.35">
      <c r="C34" s="1"/>
      <c r="D34" s="33"/>
      <c r="E34" s="34"/>
      <c r="F34" s="34"/>
      <c r="G34" s="35"/>
      <c r="H34" s="28"/>
      <c r="I34" s="29"/>
      <c r="J34" s="1"/>
      <c r="K34" s="1"/>
      <c r="L34" s="1"/>
      <c r="M34" s="1"/>
      <c r="N34" s="1"/>
      <c r="O34" s="1"/>
    </row>
    <row r="35" spans="3:15" x14ac:dyDescent="0.3">
      <c r="C35" s="1"/>
      <c r="D35" s="30" t="s">
        <v>19</v>
      </c>
      <c r="E35" s="31"/>
      <c r="F35" s="31"/>
      <c r="G35" s="32"/>
      <c r="H35" s="26">
        <v>4.2</v>
      </c>
      <c r="I35" s="27"/>
      <c r="J35" s="1"/>
      <c r="K35" s="1"/>
      <c r="L35" s="1"/>
      <c r="M35" s="1"/>
      <c r="N35" s="1"/>
      <c r="O35" s="1"/>
    </row>
    <row r="36" spans="3:15" ht="15" thickBot="1" x14ac:dyDescent="0.35">
      <c r="C36" s="1"/>
      <c r="D36" s="33"/>
      <c r="E36" s="34"/>
      <c r="F36" s="34"/>
      <c r="G36" s="35"/>
      <c r="H36" s="28"/>
      <c r="I36" s="29"/>
      <c r="J36" s="1"/>
      <c r="K36" s="1"/>
      <c r="L36" s="1"/>
      <c r="M36" s="1"/>
      <c r="N36" s="1"/>
      <c r="O36" s="1"/>
    </row>
    <row r="37" spans="3:15" x14ac:dyDescent="0.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3:15" x14ac:dyDescent="0.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3:15" x14ac:dyDescent="0.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3:15" x14ac:dyDescent="0.3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30">
    <mergeCell ref="D27:G28"/>
    <mergeCell ref="D29:G30"/>
    <mergeCell ref="F16:O16"/>
    <mergeCell ref="F18:O18"/>
    <mergeCell ref="F19:O19"/>
    <mergeCell ref="F17:O17"/>
    <mergeCell ref="K30:L31"/>
    <mergeCell ref="M30:N31"/>
    <mergeCell ref="K22:N23"/>
    <mergeCell ref="D21:I22"/>
    <mergeCell ref="M24:N25"/>
    <mergeCell ref="M26:N27"/>
    <mergeCell ref="M28:N29"/>
    <mergeCell ref="D31:G32"/>
    <mergeCell ref="C11:O13"/>
    <mergeCell ref="C16:E17"/>
    <mergeCell ref="H35:I36"/>
    <mergeCell ref="D35:G36"/>
    <mergeCell ref="K24:L25"/>
    <mergeCell ref="K26:L27"/>
    <mergeCell ref="K28:L29"/>
    <mergeCell ref="D33:G34"/>
    <mergeCell ref="H23:I24"/>
    <mergeCell ref="H25:I26"/>
    <mergeCell ref="H27:I28"/>
    <mergeCell ref="H29:I30"/>
    <mergeCell ref="H31:I32"/>
    <mergeCell ref="H33:I34"/>
    <mergeCell ref="D23:G24"/>
    <mergeCell ref="D25:G2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01A3-EABC-4892-9A5B-A7952423B436}">
  <dimension ref="B3:L27"/>
  <sheetViews>
    <sheetView tabSelected="1" workbookViewId="0">
      <selection activeCell="Q13" sqref="Q13"/>
    </sheetView>
  </sheetViews>
  <sheetFormatPr defaultRowHeight="14.4" x14ac:dyDescent="0.3"/>
  <sheetData>
    <row r="3" spans="2:12" x14ac:dyDescent="0.3">
      <c r="B3" s="210" t="s">
        <v>39</v>
      </c>
      <c r="C3" s="211"/>
      <c r="D3" s="211"/>
      <c r="E3" s="211"/>
      <c r="F3" s="211"/>
      <c r="G3" s="211"/>
      <c r="H3" s="211"/>
      <c r="I3" s="211"/>
      <c r="J3" s="211"/>
      <c r="K3" s="211"/>
      <c r="L3" s="212"/>
    </row>
    <row r="4" spans="2:12" x14ac:dyDescent="0.3">
      <c r="B4" s="213"/>
      <c r="C4" s="214"/>
      <c r="D4" s="214"/>
      <c r="E4" s="214"/>
      <c r="F4" s="214"/>
      <c r="G4" s="214"/>
      <c r="H4" s="214"/>
      <c r="I4" s="214"/>
      <c r="J4" s="214"/>
      <c r="K4" s="214"/>
      <c r="L4" s="215"/>
    </row>
    <row r="5" spans="2:12" x14ac:dyDescent="0.3">
      <c r="B5" s="213"/>
      <c r="C5" s="214"/>
      <c r="D5" s="214"/>
      <c r="E5" s="214"/>
      <c r="F5" s="214"/>
      <c r="G5" s="214"/>
      <c r="H5" s="214"/>
      <c r="I5" s="214"/>
      <c r="J5" s="214"/>
      <c r="K5" s="214"/>
      <c r="L5" s="215"/>
    </row>
    <row r="6" spans="2:12" x14ac:dyDescent="0.3"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</row>
    <row r="7" spans="2:12" ht="14.4" customHeight="1" x14ac:dyDescent="0.3">
      <c r="B7" s="219" t="s">
        <v>40</v>
      </c>
      <c r="C7" s="211"/>
      <c r="D7" s="212"/>
      <c r="E7" s="320" t="s">
        <v>54</v>
      </c>
      <c r="F7" s="226"/>
      <c r="G7" s="226"/>
      <c r="H7" s="226"/>
      <c r="I7" s="226"/>
      <c r="J7" s="226"/>
      <c r="K7" s="226"/>
      <c r="L7" s="227"/>
    </row>
    <row r="8" spans="2:12" ht="14.4" customHeight="1" x14ac:dyDescent="0.3">
      <c r="B8" s="216"/>
      <c r="C8" s="217"/>
      <c r="D8" s="218"/>
      <c r="E8" s="321"/>
      <c r="F8" s="322"/>
      <c r="G8" s="322"/>
      <c r="H8" s="322"/>
      <c r="I8" s="322"/>
      <c r="J8" s="322"/>
      <c r="K8" s="322"/>
      <c r="L8" s="323"/>
    </row>
    <row r="9" spans="2:12" ht="14.4" customHeight="1" x14ac:dyDescent="0.3">
      <c r="B9" s="330"/>
      <c r="C9" s="330"/>
      <c r="D9" s="330"/>
      <c r="E9" s="324" t="s">
        <v>55</v>
      </c>
      <c r="F9" s="325"/>
      <c r="G9" s="325"/>
      <c r="H9" s="325"/>
      <c r="I9" s="325"/>
      <c r="J9" s="325"/>
      <c r="K9" s="325"/>
      <c r="L9" s="326"/>
    </row>
    <row r="10" spans="2:12" ht="14.4" customHeight="1" x14ac:dyDescent="0.3">
      <c r="B10" s="235"/>
      <c r="C10" s="235"/>
      <c r="D10" s="235"/>
      <c r="E10" s="327"/>
      <c r="F10" s="328"/>
      <c r="G10" s="328"/>
      <c r="H10" s="328"/>
      <c r="I10" s="328"/>
      <c r="J10" s="328"/>
      <c r="K10" s="328"/>
      <c r="L10" s="329"/>
    </row>
    <row r="11" spans="2:12" x14ac:dyDescent="0.3">
      <c r="B11" s="235"/>
      <c r="C11" s="235"/>
      <c r="D11" s="235"/>
      <c r="E11" s="330"/>
      <c r="F11" s="330"/>
      <c r="G11" s="330"/>
      <c r="H11" s="330"/>
      <c r="I11" s="330"/>
      <c r="J11" s="330"/>
      <c r="K11" s="330"/>
      <c r="L11" s="330"/>
    </row>
    <row r="12" spans="2:12" ht="14.4" customHeight="1" x14ac:dyDescent="0.3">
      <c r="B12" s="235"/>
      <c r="C12" s="235"/>
      <c r="D12" s="332" t="s">
        <v>44</v>
      </c>
      <c r="E12" s="333"/>
      <c r="F12" s="333"/>
      <c r="G12" s="333"/>
      <c r="H12" s="333"/>
      <c r="I12" s="333"/>
      <c r="J12" s="334"/>
      <c r="K12" s="331"/>
      <c r="L12" s="331"/>
    </row>
    <row r="13" spans="2:12" ht="14.4" customHeight="1" x14ac:dyDescent="0.3">
      <c r="B13" s="1"/>
      <c r="C13" s="1"/>
      <c r="D13" s="335"/>
      <c r="E13" s="336"/>
      <c r="F13" s="336"/>
      <c r="G13" s="336"/>
      <c r="H13" s="336"/>
      <c r="I13" s="336"/>
      <c r="J13" s="337"/>
      <c r="K13" s="1"/>
      <c r="L13" s="1"/>
    </row>
    <row r="14" spans="2:12" ht="14.4" customHeight="1" x14ac:dyDescent="0.3">
      <c r="B14" s="1"/>
      <c r="C14" s="1"/>
      <c r="D14" s="338"/>
      <c r="E14" s="339"/>
      <c r="F14" s="339"/>
      <c r="G14" s="339"/>
      <c r="H14" s="339"/>
      <c r="I14" s="339"/>
      <c r="J14" s="340"/>
      <c r="K14" s="1"/>
      <c r="L14" s="1"/>
    </row>
    <row r="15" spans="2:12" x14ac:dyDescent="0.3">
      <c r="B15" s="1"/>
      <c r="C15" s="1"/>
      <c r="D15" s="204"/>
      <c r="E15" s="205"/>
      <c r="F15" s="205"/>
      <c r="G15" s="205"/>
      <c r="H15" s="205"/>
      <c r="I15" s="205"/>
      <c r="J15" s="206"/>
      <c r="K15" s="1"/>
      <c r="L15" s="1"/>
    </row>
    <row r="16" spans="2:12" x14ac:dyDescent="0.3">
      <c r="B16" s="1"/>
      <c r="C16" s="1"/>
      <c r="D16" s="204"/>
      <c r="E16" s="205"/>
      <c r="F16" s="205"/>
      <c r="G16" s="205"/>
      <c r="H16" s="205"/>
      <c r="I16" s="205"/>
      <c r="J16" s="206"/>
      <c r="K16" s="1"/>
      <c r="L16" s="1"/>
    </row>
    <row r="17" spans="2:12" x14ac:dyDescent="0.3">
      <c r="B17" s="1"/>
      <c r="C17" s="1"/>
      <c r="D17" s="204"/>
      <c r="E17" s="205"/>
      <c r="F17" s="205"/>
      <c r="G17" s="205"/>
      <c r="H17" s="205"/>
      <c r="I17" s="205"/>
      <c r="J17" s="206"/>
      <c r="K17" s="1"/>
      <c r="L17" s="1"/>
    </row>
    <row r="18" spans="2:12" x14ac:dyDescent="0.3">
      <c r="B18" s="1"/>
      <c r="C18" s="1"/>
      <c r="D18" s="204"/>
      <c r="E18" s="205"/>
      <c r="F18" s="205"/>
      <c r="G18" s="205"/>
      <c r="H18" s="205"/>
      <c r="I18" s="205"/>
      <c r="J18" s="206"/>
      <c r="K18" s="1"/>
      <c r="L18" s="1"/>
    </row>
    <row r="19" spans="2:12" x14ac:dyDescent="0.3">
      <c r="B19" s="1"/>
      <c r="C19" s="1"/>
      <c r="D19" s="204"/>
      <c r="E19" s="205"/>
      <c r="F19" s="205"/>
      <c r="G19" s="205"/>
      <c r="H19" s="205"/>
      <c r="I19" s="205"/>
      <c r="J19" s="206"/>
      <c r="K19" s="1"/>
      <c r="L19" s="1"/>
    </row>
    <row r="20" spans="2:12" x14ac:dyDescent="0.3">
      <c r="B20" s="1"/>
      <c r="C20" s="1"/>
      <c r="D20" s="204"/>
      <c r="E20" s="205"/>
      <c r="F20" s="205"/>
      <c r="G20" s="205"/>
      <c r="H20" s="205"/>
      <c r="I20" s="205"/>
      <c r="J20" s="206"/>
      <c r="K20" s="1"/>
      <c r="L20" s="1"/>
    </row>
    <row r="21" spans="2:12" x14ac:dyDescent="0.3">
      <c r="B21" s="1"/>
      <c r="C21" s="1"/>
      <c r="D21" s="204"/>
      <c r="E21" s="205"/>
      <c r="F21" s="205"/>
      <c r="G21" s="205"/>
      <c r="H21" s="205"/>
      <c r="I21" s="205"/>
      <c r="J21" s="206"/>
      <c r="K21" s="1"/>
      <c r="L21" s="1"/>
    </row>
    <row r="22" spans="2:12" x14ac:dyDescent="0.3">
      <c r="B22" s="1"/>
      <c r="C22" s="1"/>
      <c r="D22" s="207"/>
      <c r="E22" s="208"/>
      <c r="F22" s="208"/>
      <c r="G22" s="208"/>
      <c r="H22" s="208"/>
      <c r="I22" s="208"/>
      <c r="J22" s="209"/>
      <c r="K22" s="1"/>
      <c r="L22" s="1"/>
    </row>
    <row r="23" spans="2:1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3">
      <c r="B24" s="222" t="s">
        <v>41</v>
      </c>
      <c r="C24" s="223"/>
      <c r="D24" s="228" t="s">
        <v>42</v>
      </c>
      <c r="E24" s="229"/>
      <c r="F24" s="229"/>
      <c r="G24" s="229"/>
      <c r="H24" s="229"/>
      <c r="I24" s="229"/>
      <c r="J24" s="229"/>
      <c r="K24" s="229"/>
      <c r="L24" s="230"/>
    </row>
    <row r="25" spans="2:12" x14ac:dyDescent="0.3">
      <c r="B25" s="224"/>
      <c r="C25" s="225"/>
      <c r="D25" s="231"/>
      <c r="E25" s="232"/>
      <c r="F25" s="232"/>
      <c r="G25" s="232"/>
      <c r="H25" s="232"/>
      <c r="I25" s="232"/>
      <c r="J25" s="232"/>
      <c r="K25" s="232"/>
      <c r="L25" s="233"/>
    </row>
    <row r="26" spans="2:12" ht="14.4" customHeight="1" x14ac:dyDescent="0.3">
      <c r="B26" s="1"/>
      <c r="C26" s="1"/>
      <c r="D26" s="234"/>
      <c r="E26" s="235"/>
      <c r="F26" s="235"/>
      <c r="G26" s="235"/>
      <c r="H26" s="235"/>
      <c r="I26" s="235"/>
      <c r="J26" s="235"/>
      <c r="K26" s="235"/>
      <c r="L26" s="235"/>
    </row>
    <row r="27" spans="2:12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mergeCells count="9">
    <mergeCell ref="D15:J22"/>
    <mergeCell ref="B24:C25"/>
    <mergeCell ref="D24:L25"/>
    <mergeCell ref="D12:J13"/>
    <mergeCell ref="B3:L5"/>
    <mergeCell ref="B6:L6"/>
    <mergeCell ref="B7:D8"/>
    <mergeCell ref="E7:L8"/>
    <mergeCell ref="E9:L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07C6-1E6A-400C-BC31-69842E67C987}">
  <dimension ref="B1:N25"/>
  <sheetViews>
    <sheetView workbookViewId="0">
      <selection activeCell="B2" sqref="B2:N4"/>
    </sheetView>
  </sheetViews>
  <sheetFormatPr defaultRowHeight="14.4" x14ac:dyDescent="0.3"/>
  <sheetData>
    <row r="1" spans="2:14" ht="15" thickBot="1" x14ac:dyDescent="0.35"/>
    <row r="2" spans="2:14" x14ac:dyDescent="0.3">
      <c r="B2" s="124" t="s">
        <v>20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</row>
    <row r="3" spans="2:14" x14ac:dyDescent="0.3">
      <c r="B3" s="127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9"/>
    </row>
    <row r="4" spans="2:14" ht="15" thickBot="1" x14ac:dyDescent="0.35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2"/>
    </row>
    <row r="5" spans="2:14" ht="15" thickBo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18" x14ac:dyDescent="0.35">
      <c r="B6" s="118" t="s">
        <v>21</v>
      </c>
      <c r="C6" s="119"/>
      <c r="D6" s="120"/>
      <c r="E6" s="133" t="s">
        <v>22</v>
      </c>
      <c r="F6" s="134"/>
      <c r="G6" s="134"/>
      <c r="H6" s="134"/>
      <c r="I6" s="134"/>
      <c r="J6" s="134"/>
      <c r="K6" s="134"/>
      <c r="L6" s="134"/>
      <c r="M6" s="134"/>
      <c r="N6" s="135"/>
    </row>
    <row r="7" spans="2:14" ht="18.600000000000001" thickBot="1" x14ac:dyDescent="0.4">
      <c r="B7" s="121"/>
      <c r="C7" s="122"/>
      <c r="D7" s="123"/>
      <c r="E7" s="136" t="s">
        <v>23</v>
      </c>
      <c r="F7" s="137"/>
      <c r="G7" s="137"/>
      <c r="H7" s="137"/>
      <c r="I7" s="137"/>
      <c r="J7" s="137"/>
      <c r="K7" s="137"/>
      <c r="L7" s="137"/>
      <c r="M7" s="137"/>
      <c r="N7" s="138"/>
    </row>
    <row r="8" spans="2:14" ht="18.600000000000001" thickBot="1" x14ac:dyDescent="0.4">
      <c r="B8" s="1"/>
      <c r="C8" s="1"/>
      <c r="D8" s="1"/>
      <c r="E8" s="115" t="s">
        <v>24</v>
      </c>
      <c r="F8" s="116"/>
      <c r="G8" s="116"/>
      <c r="H8" s="116"/>
      <c r="I8" s="116"/>
      <c r="J8" s="116"/>
      <c r="K8" s="116"/>
      <c r="L8" s="116"/>
      <c r="M8" s="116"/>
      <c r="N8" s="117"/>
    </row>
    <row r="9" spans="2:14" ht="15" thickBo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15" thickBot="1" x14ac:dyDescent="0.35">
      <c r="B10" s="8"/>
      <c r="C10" s="72" t="s">
        <v>7</v>
      </c>
      <c r="D10" s="73"/>
      <c r="E10" s="73"/>
      <c r="F10" s="73"/>
      <c r="G10" s="73"/>
      <c r="H10" s="74"/>
      <c r="I10" s="1"/>
      <c r="J10" s="1"/>
      <c r="K10" s="1"/>
      <c r="L10" s="1"/>
      <c r="M10" s="1"/>
      <c r="N10" s="1"/>
    </row>
    <row r="11" spans="2:14" ht="15" thickBot="1" x14ac:dyDescent="0.35">
      <c r="B11" s="8"/>
      <c r="C11" s="75"/>
      <c r="D11" s="75"/>
      <c r="E11" s="75"/>
      <c r="F11" s="75"/>
      <c r="G11" s="75"/>
      <c r="H11" s="76"/>
      <c r="I11" s="1"/>
      <c r="J11" s="77" t="s">
        <v>8</v>
      </c>
      <c r="K11" s="73"/>
      <c r="L11" s="73"/>
      <c r="M11" s="74"/>
      <c r="N11" s="1"/>
    </row>
    <row r="12" spans="2:14" ht="15" thickBot="1" x14ac:dyDescent="0.35">
      <c r="B12" s="8"/>
      <c r="C12" s="79" t="s">
        <v>25</v>
      </c>
      <c r="D12" s="79"/>
      <c r="E12" s="79"/>
      <c r="F12" s="79"/>
      <c r="G12" s="80"/>
      <c r="H12" s="81"/>
      <c r="I12" s="1"/>
      <c r="J12" s="78"/>
      <c r="K12" s="75"/>
      <c r="L12" s="75"/>
      <c r="M12" s="76"/>
      <c r="N12" s="1"/>
    </row>
    <row r="13" spans="2:14" ht="15" thickBot="1" x14ac:dyDescent="0.35">
      <c r="B13" s="8"/>
      <c r="C13" s="79"/>
      <c r="D13" s="79"/>
      <c r="E13" s="79"/>
      <c r="F13" s="79"/>
      <c r="G13" s="80"/>
      <c r="H13" s="81"/>
      <c r="I13" s="1"/>
      <c r="J13" s="82" t="s">
        <v>26</v>
      </c>
      <c r="K13" s="83"/>
      <c r="L13" s="86" t="str">
        <f>IF(OR(G16="",G18=""),
   "Input Required",
   IF(OR(NOT(ISNUMBER(G16)),NOT(ISNUMBER(G18)),G16=G18),
      "Invalid Input",
      (G16+273.15)/((G16+273.15)-(G18+273.15))
   )
)</f>
        <v>Input Required</v>
      </c>
      <c r="M13" s="87"/>
      <c r="N13" s="1"/>
    </row>
    <row r="14" spans="2:14" ht="15" thickBot="1" x14ac:dyDescent="0.35">
      <c r="B14" s="8"/>
      <c r="C14" s="90" t="s">
        <v>27</v>
      </c>
      <c r="D14" s="90"/>
      <c r="E14" s="90"/>
      <c r="F14" s="91"/>
      <c r="G14" s="94"/>
      <c r="H14" s="87"/>
      <c r="I14" s="1"/>
      <c r="J14" s="84"/>
      <c r="K14" s="85"/>
      <c r="L14" s="88"/>
      <c r="M14" s="89"/>
      <c r="N14" s="1"/>
    </row>
    <row r="15" spans="2:14" ht="15" thickBot="1" x14ac:dyDescent="0.35">
      <c r="B15" s="8"/>
      <c r="C15" s="92"/>
      <c r="D15" s="92"/>
      <c r="E15" s="92"/>
      <c r="F15" s="93"/>
      <c r="G15" s="95"/>
      <c r="H15" s="89"/>
      <c r="I15" s="1"/>
      <c r="J15" s="82" t="s">
        <v>28</v>
      </c>
      <c r="K15" s="83"/>
      <c r="L15" s="86" t="str">
        <f>IF(ISBLANK(G14),L13,G14)</f>
        <v>Input Required</v>
      </c>
      <c r="M15" s="87"/>
      <c r="N15" s="1"/>
    </row>
    <row r="16" spans="2:14" ht="15" thickBot="1" x14ac:dyDescent="0.35">
      <c r="B16" s="8"/>
      <c r="C16" s="96" t="s">
        <v>29</v>
      </c>
      <c r="D16" s="96"/>
      <c r="E16" s="96"/>
      <c r="F16" s="96"/>
      <c r="G16" s="94"/>
      <c r="H16" s="87"/>
      <c r="I16" s="1"/>
      <c r="J16" s="84"/>
      <c r="K16" s="85"/>
      <c r="L16" s="88"/>
      <c r="M16" s="89"/>
      <c r="N16" s="1"/>
    </row>
    <row r="17" spans="2:14" ht="15" thickBot="1" x14ac:dyDescent="0.35">
      <c r="B17" s="8"/>
      <c r="C17" s="96"/>
      <c r="D17" s="96"/>
      <c r="E17" s="96"/>
      <c r="F17" s="96"/>
      <c r="G17" s="80"/>
      <c r="H17" s="81"/>
      <c r="I17" s="1"/>
      <c r="J17" s="97" t="s">
        <v>14</v>
      </c>
      <c r="K17" s="98"/>
      <c r="L17" s="86" t="str">
        <f>IF(OR(G12="",L15=""),
   "Input Required",
   IF(OR(NOT(ISNUMBER(G12)),NOT(ISNUMBER(L15))),
      "Invalid Input",
      IF(L15=0,
         "Invalid Values",
         G12/L15
      )
   )
)</f>
        <v>Input Required</v>
      </c>
      <c r="M17" s="87"/>
      <c r="N17" s="1"/>
    </row>
    <row r="18" spans="2:14" ht="15" thickBot="1" x14ac:dyDescent="0.35">
      <c r="B18" s="8"/>
      <c r="C18" s="90" t="s">
        <v>30</v>
      </c>
      <c r="D18" s="90"/>
      <c r="E18" s="90"/>
      <c r="F18" s="91"/>
      <c r="G18" s="94"/>
      <c r="H18" s="87"/>
      <c r="I18" s="1"/>
      <c r="J18" s="99"/>
      <c r="K18" s="100"/>
      <c r="L18" s="88"/>
      <c r="M18" s="89"/>
      <c r="N18" s="1"/>
    </row>
    <row r="19" spans="2:14" ht="15" thickBot="1" x14ac:dyDescent="0.35">
      <c r="B19" s="8"/>
      <c r="C19" s="96"/>
      <c r="D19" s="96"/>
      <c r="E19" s="96"/>
      <c r="F19" s="101"/>
      <c r="G19" s="80"/>
      <c r="H19" s="81"/>
      <c r="I19" s="1"/>
      <c r="J19" s="102" t="s">
        <v>16</v>
      </c>
      <c r="K19" s="103"/>
      <c r="L19" s="104" t="str">
        <f>L17</f>
        <v>Input Required</v>
      </c>
      <c r="M19" s="81"/>
      <c r="N19" s="1"/>
    </row>
    <row r="20" spans="2:14" ht="15" thickBot="1" x14ac:dyDescent="0.35">
      <c r="B20" s="1"/>
      <c r="C20" s="105" t="s">
        <v>19</v>
      </c>
      <c r="D20" s="106"/>
      <c r="E20" s="106"/>
      <c r="F20" s="107"/>
      <c r="G20" s="111">
        <v>4.2</v>
      </c>
      <c r="H20" s="112"/>
      <c r="I20" s="1"/>
      <c r="J20" s="84"/>
      <c r="K20" s="85"/>
      <c r="L20" s="88"/>
      <c r="M20" s="89"/>
      <c r="N20" s="1"/>
    </row>
    <row r="21" spans="2:14" ht="15" thickBot="1" x14ac:dyDescent="0.35">
      <c r="B21" s="1"/>
      <c r="C21" s="108"/>
      <c r="D21" s="109"/>
      <c r="E21" s="109"/>
      <c r="F21" s="110"/>
      <c r="G21" s="113"/>
      <c r="H21" s="114"/>
      <c r="I21" s="1"/>
      <c r="J21" s="1"/>
      <c r="K21" s="1"/>
      <c r="L21" s="1"/>
      <c r="M21" s="1"/>
      <c r="N21" s="1"/>
    </row>
    <row r="22" spans="2:14" x14ac:dyDescent="0.3">
      <c r="B22" s="1"/>
      <c r="C22" s="9"/>
      <c r="D22" s="9"/>
      <c r="E22" s="9"/>
      <c r="F22" s="10"/>
      <c r="G22" s="1"/>
      <c r="H22" s="1"/>
      <c r="I22" s="1"/>
      <c r="J22" s="1"/>
      <c r="K22" s="1"/>
      <c r="L22" s="1"/>
      <c r="M22" s="1"/>
      <c r="N22" s="1"/>
    </row>
    <row r="23" spans="2:14" x14ac:dyDescent="0.3">
      <c r="B23" s="1"/>
      <c r="C23" s="9"/>
      <c r="D23" s="9"/>
      <c r="E23" s="9"/>
      <c r="F23" s="9"/>
      <c r="G23" s="1"/>
      <c r="H23" s="1"/>
      <c r="I23" s="1"/>
      <c r="J23" s="1"/>
      <c r="K23" s="1"/>
      <c r="L23" s="1"/>
      <c r="M23" s="1"/>
      <c r="N23" s="1"/>
    </row>
    <row r="24" spans="2:14" x14ac:dyDescent="0.3">
      <c r="B24" s="1"/>
      <c r="C24" s="9"/>
      <c r="D24" s="9"/>
      <c r="E24" s="9"/>
      <c r="F24" s="9"/>
      <c r="G24" s="1"/>
      <c r="H24" s="1"/>
      <c r="I24" s="1"/>
      <c r="J24" s="1"/>
      <c r="K24" s="1"/>
      <c r="L24" s="1"/>
      <c r="M24" s="1"/>
      <c r="N24" s="1"/>
    </row>
    <row r="25" spans="2:14" x14ac:dyDescent="0.3">
      <c r="C25" s="4"/>
      <c r="D25" s="4"/>
      <c r="E25" s="4"/>
      <c r="F25" s="4"/>
    </row>
  </sheetData>
  <mergeCells count="25">
    <mergeCell ref="B6:D7"/>
    <mergeCell ref="B2:N4"/>
    <mergeCell ref="E6:N6"/>
    <mergeCell ref="E7:N7"/>
    <mergeCell ref="J19:K20"/>
    <mergeCell ref="L19:M20"/>
    <mergeCell ref="C20:F21"/>
    <mergeCell ref="G20:H21"/>
    <mergeCell ref="E8:N8"/>
    <mergeCell ref="C10:H11"/>
    <mergeCell ref="J11:M12"/>
    <mergeCell ref="C12:F13"/>
    <mergeCell ref="G12:H13"/>
    <mergeCell ref="J13:K14"/>
    <mergeCell ref="L13:M14"/>
    <mergeCell ref="C14:F15"/>
    <mergeCell ref="G14:H15"/>
    <mergeCell ref="J15:K16"/>
    <mergeCell ref="L15:M16"/>
    <mergeCell ref="C16:F17"/>
    <mergeCell ref="G16:H17"/>
    <mergeCell ref="J17:K18"/>
    <mergeCell ref="L17:M18"/>
    <mergeCell ref="C18:F19"/>
    <mergeCell ref="G18:H19"/>
  </mergeCells>
  <pageMargins left="0.7" right="0.7" top="0.75" bottom="0.75" header="0.3" footer="0.3"/>
  <ignoredErrors>
    <ignoredError sqref="L15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F006-BCA6-4FF0-A175-1942B778B1E2}">
  <dimension ref="B2:K32"/>
  <sheetViews>
    <sheetView topLeftCell="A2" workbookViewId="0">
      <selection activeCell="M18" sqref="M18"/>
    </sheetView>
  </sheetViews>
  <sheetFormatPr defaultRowHeight="14.4" x14ac:dyDescent="0.3"/>
  <sheetData>
    <row r="2" spans="2:11" x14ac:dyDescent="0.3">
      <c r="B2" s="236" t="s">
        <v>20</v>
      </c>
      <c r="C2" s="237"/>
      <c r="D2" s="237"/>
      <c r="E2" s="237"/>
      <c r="F2" s="237"/>
      <c r="G2" s="237"/>
      <c r="H2" s="237"/>
      <c r="I2" s="237"/>
      <c r="J2" s="237"/>
      <c r="K2" s="238"/>
    </row>
    <row r="3" spans="2:11" x14ac:dyDescent="0.3">
      <c r="B3" s="239"/>
      <c r="C3" s="240"/>
      <c r="D3" s="240"/>
      <c r="E3" s="240"/>
      <c r="F3" s="240"/>
      <c r="G3" s="240"/>
      <c r="H3" s="240"/>
      <c r="I3" s="240"/>
      <c r="J3" s="240"/>
      <c r="K3" s="241"/>
    </row>
    <row r="4" spans="2:11" x14ac:dyDescent="0.3">
      <c r="B4" s="242"/>
      <c r="C4" s="243"/>
      <c r="D4" s="243"/>
      <c r="E4" s="243"/>
      <c r="F4" s="243"/>
      <c r="G4" s="243"/>
      <c r="H4" s="243"/>
      <c r="I4" s="243"/>
      <c r="J4" s="243"/>
      <c r="K4" s="244"/>
    </row>
    <row r="5" spans="2:11" x14ac:dyDescent="0.3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x14ac:dyDescent="0.3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 x14ac:dyDescent="0.3">
      <c r="B7" s="245" t="s">
        <v>40</v>
      </c>
      <c r="C7" s="246"/>
      <c r="D7" s="246"/>
      <c r="E7" s="343" t="s">
        <v>53</v>
      </c>
      <c r="F7" s="343"/>
      <c r="G7" s="343"/>
      <c r="H7" s="343"/>
      <c r="I7" s="343"/>
      <c r="J7" s="343"/>
      <c r="K7" s="343"/>
    </row>
    <row r="8" spans="2:11" x14ac:dyDescent="0.3">
      <c r="B8" s="247"/>
      <c r="C8" s="248"/>
      <c r="D8" s="248"/>
      <c r="E8" s="344"/>
      <c r="F8" s="344"/>
      <c r="G8" s="344"/>
      <c r="H8" s="344"/>
      <c r="I8" s="344"/>
      <c r="J8" s="344"/>
      <c r="K8" s="344"/>
    </row>
    <row r="9" spans="2:11" ht="18" x14ac:dyDescent="0.3">
      <c r="B9" s="1"/>
      <c r="C9" s="1"/>
      <c r="D9" s="1"/>
      <c r="E9" s="341" t="s">
        <v>56</v>
      </c>
      <c r="F9" s="342"/>
      <c r="G9" s="342"/>
      <c r="H9" s="342"/>
      <c r="I9" s="342"/>
      <c r="J9" s="342"/>
      <c r="K9" s="342"/>
    </row>
    <row r="10" spans="2:11" x14ac:dyDescent="0.3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ht="14.4" customHeight="1" x14ac:dyDescent="0.3">
      <c r="B12" s="1"/>
      <c r="C12" s="249" t="s">
        <v>43</v>
      </c>
      <c r="D12" s="250"/>
      <c r="E12" s="250"/>
      <c r="F12" s="250"/>
      <c r="G12" s="250"/>
      <c r="H12" s="250"/>
      <c r="I12" s="250"/>
      <c r="J12" s="251"/>
      <c r="K12" s="1"/>
    </row>
    <row r="13" spans="2:11" ht="14.4" customHeight="1" x14ac:dyDescent="0.3">
      <c r="B13" s="1"/>
      <c r="C13" s="252"/>
      <c r="D13" s="253"/>
      <c r="E13" s="253"/>
      <c r="F13" s="253"/>
      <c r="G13" s="253"/>
      <c r="H13" s="253"/>
      <c r="I13" s="253"/>
      <c r="J13" s="254"/>
      <c r="K13" s="1"/>
    </row>
    <row r="14" spans="2:11" x14ac:dyDescent="0.3">
      <c r="B14" s="1"/>
      <c r="C14" s="261"/>
      <c r="D14" s="220"/>
      <c r="E14" s="220"/>
      <c r="F14" s="220"/>
      <c r="G14" s="220"/>
      <c r="H14" s="220"/>
      <c r="I14" s="220"/>
      <c r="J14" s="262"/>
      <c r="K14" s="1"/>
    </row>
    <row r="15" spans="2:11" x14ac:dyDescent="0.3">
      <c r="B15" s="1"/>
      <c r="C15" s="263"/>
      <c r="D15" s="221"/>
      <c r="E15" s="221"/>
      <c r="F15" s="221"/>
      <c r="G15" s="221"/>
      <c r="H15" s="221"/>
      <c r="I15" s="221"/>
      <c r="J15" s="264"/>
      <c r="K15" s="1"/>
    </row>
    <row r="16" spans="2:11" x14ac:dyDescent="0.3">
      <c r="B16" s="1"/>
      <c r="C16" s="263"/>
      <c r="D16" s="221"/>
      <c r="E16" s="221"/>
      <c r="F16" s="221"/>
      <c r="G16" s="221"/>
      <c r="H16" s="221"/>
      <c r="I16" s="221"/>
      <c r="J16" s="264"/>
      <c r="K16" s="1"/>
    </row>
    <row r="17" spans="2:11" x14ac:dyDescent="0.3">
      <c r="B17" s="1"/>
      <c r="C17" s="263"/>
      <c r="D17" s="221"/>
      <c r="E17" s="221"/>
      <c r="F17" s="221"/>
      <c r="G17" s="221"/>
      <c r="H17" s="221"/>
      <c r="I17" s="221"/>
      <c r="J17" s="264"/>
      <c r="K17" s="1"/>
    </row>
    <row r="18" spans="2:11" x14ac:dyDescent="0.3">
      <c r="B18" s="1"/>
      <c r="C18" s="263"/>
      <c r="D18" s="221"/>
      <c r="E18" s="221"/>
      <c r="F18" s="221"/>
      <c r="G18" s="221"/>
      <c r="H18" s="221"/>
      <c r="I18" s="221"/>
      <c r="J18" s="264"/>
      <c r="K18" s="1"/>
    </row>
    <row r="19" spans="2:11" x14ac:dyDescent="0.3">
      <c r="B19" s="1"/>
      <c r="C19" s="263"/>
      <c r="D19" s="221"/>
      <c r="E19" s="221"/>
      <c r="F19" s="221"/>
      <c r="G19" s="221"/>
      <c r="H19" s="221"/>
      <c r="I19" s="221"/>
      <c r="J19" s="264"/>
      <c r="K19" s="1"/>
    </row>
    <row r="20" spans="2:11" x14ac:dyDescent="0.3">
      <c r="B20" s="1"/>
      <c r="C20" s="263"/>
      <c r="D20" s="221"/>
      <c r="E20" s="221"/>
      <c r="F20" s="221"/>
      <c r="G20" s="221"/>
      <c r="H20" s="221"/>
      <c r="I20" s="221"/>
      <c r="J20" s="264"/>
      <c r="K20" s="1"/>
    </row>
    <row r="21" spans="2:11" x14ac:dyDescent="0.3">
      <c r="B21" s="1"/>
      <c r="C21" s="263"/>
      <c r="D21" s="221"/>
      <c r="E21" s="221"/>
      <c r="F21" s="221"/>
      <c r="G21" s="221"/>
      <c r="H21" s="221"/>
      <c r="I21" s="221"/>
      <c r="J21" s="264"/>
      <c r="K21" s="1"/>
    </row>
    <row r="22" spans="2:11" x14ac:dyDescent="0.3">
      <c r="B22" s="1"/>
      <c r="C22" s="263"/>
      <c r="D22" s="221"/>
      <c r="E22" s="221"/>
      <c r="F22" s="221"/>
      <c r="G22" s="221"/>
      <c r="H22" s="221"/>
      <c r="I22" s="221"/>
      <c r="J22" s="264"/>
      <c r="K22" s="1"/>
    </row>
    <row r="23" spans="2:11" x14ac:dyDescent="0.3">
      <c r="B23" s="1"/>
      <c r="C23" s="263"/>
      <c r="D23" s="221"/>
      <c r="E23" s="221"/>
      <c r="F23" s="221"/>
      <c r="G23" s="221"/>
      <c r="H23" s="221"/>
      <c r="I23" s="221"/>
      <c r="J23" s="264"/>
      <c r="K23" s="1"/>
    </row>
    <row r="24" spans="2:11" x14ac:dyDescent="0.3">
      <c r="B24" s="1"/>
      <c r="C24" s="263"/>
      <c r="D24" s="221"/>
      <c r="E24" s="221"/>
      <c r="F24" s="221"/>
      <c r="G24" s="221"/>
      <c r="H24" s="221"/>
      <c r="I24" s="221"/>
      <c r="J24" s="264"/>
      <c r="K24" s="1"/>
    </row>
    <row r="25" spans="2:11" x14ac:dyDescent="0.3">
      <c r="B25" s="1"/>
      <c r="C25" s="263"/>
      <c r="D25" s="221"/>
      <c r="E25" s="221"/>
      <c r="F25" s="221"/>
      <c r="G25" s="221"/>
      <c r="H25" s="221"/>
      <c r="I25" s="221"/>
      <c r="J25" s="264"/>
      <c r="K25" s="1"/>
    </row>
    <row r="26" spans="2:11" x14ac:dyDescent="0.3">
      <c r="B26" s="1"/>
      <c r="C26" s="265"/>
      <c r="D26" s="266"/>
      <c r="E26" s="266"/>
      <c r="F26" s="266"/>
      <c r="G26" s="266"/>
      <c r="H26" s="266"/>
      <c r="I26" s="266"/>
      <c r="J26" s="267"/>
      <c r="K26" s="1"/>
    </row>
    <row r="27" spans="2:1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x14ac:dyDescent="0.3">
      <c r="B28" s="268" t="s">
        <v>41</v>
      </c>
      <c r="C28" s="270"/>
      <c r="D28" s="272" t="s">
        <v>45</v>
      </c>
      <c r="E28" s="273"/>
      <c r="F28" s="273"/>
      <c r="G28" s="273"/>
      <c r="H28" s="273"/>
      <c r="I28" s="273"/>
      <c r="J28" s="273"/>
      <c r="K28" s="274"/>
    </row>
    <row r="29" spans="2:11" x14ac:dyDescent="0.3">
      <c r="B29" s="269"/>
      <c r="C29" s="271"/>
      <c r="D29" s="275"/>
      <c r="E29" s="276"/>
      <c r="F29" s="276"/>
      <c r="G29" s="276"/>
      <c r="H29" s="276"/>
      <c r="I29" s="276"/>
      <c r="J29" s="276"/>
      <c r="K29" s="277"/>
    </row>
    <row r="30" spans="2:11" ht="15.6" x14ac:dyDescent="0.3">
      <c r="B30" s="1"/>
      <c r="C30" s="1"/>
      <c r="D30" s="278" t="s">
        <v>46</v>
      </c>
      <c r="E30" s="279"/>
      <c r="F30" s="279"/>
      <c r="G30" s="279"/>
      <c r="H30" s="279"/>
      <c r="I30" s="279"/>
      <c r="J30" s="279"/>
      <c r="K30" s="280"/>
    </row>
    <row r="31" spans="2:1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9">
    <mergeCell ref="C14:J26"/>
    <mergeCell ref="B28:C29"/>
    <mergeCell ref="D28:K29"/>
    <mergeCell ref="D30:K30"/>
    <mergeCell ref="B2:K4"/>
    <mergeCell ref="B7:D8"/>
    <mergeCell ref="E7:K8"/>
    <mergeCell ref="E9:K9"/>
    <mergeCell ref="C12:J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545E-9DFB-4B26-AA86-7A3166E88E1E}">
  <dimension ref="B3:N24"/>
  <sheetViews>
    <sheetView workbookViewId="0">
      <selection activeCell="B4" sqref="B4:N6"/>
    </sheetView>
  </sheetViews>
  <sheetFormatPr defaultRowHeight="14.4" x14ac:dyDescent="0.3"/>
  <sheetData>
    <row r="3" spans="2:14" ht="15" thickBot="1" x14ac:dyDescent="0.35"/>
    <row r="4" spans="2:14" x14ac:dyDescent="0.3">
      <c r="B4" s="182" t="s">
        <v>31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4"/>
    </row>
    <row r="5" spans="2:14" x14ac:dyDescent="0.3">
      <c r="B5" s="185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7"/>
    </row>
    <row r="6" spans="2:14" ht="15" thickBot="1" x14ac:dyDescent="0.35">
      <c r="B6" s="188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90"/>
    </row>
    <row r="7" spans="2:14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ht="15" thickBot="1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18" x14ac:dyDescent="0.35">
      <c r="B9" s="191" t="s">
        <v>21</v>
      </c>
      <c r="C9" s="192"/>
      <c r="D9" s="192"/>
      <c r="E9" s="195" t="s">
        <v>32</v>
      </c>
      <c r="F9" s="196"/>
      <c r="G9" s="196"/>
      <c r="H9" s="196"/>
      <c r="I9" s="196"/>
      <c r="J9" s="196"/>
      <c r="K9" s="196"/>
      <c r="L9" s="196"/>
      <c r="M9" s="196"/>
      <c r="N9" s="197"/>
    </row>
    <row r="10" spans="2:14" ht="18.600000000000001" thickBot="1" x14ac:dyDescent="0.4">
      <c r="B10" s="193"/>
      <c r="C10" s="194"/>
      <c r="D10" s="194"/>
      <c r="E10" s="198" t="s">
        <v>33</v>
      </c>
      <c r="F10" s="199"/>
      <c r="G10" s="199"/>
      <c r="H10" s="199"/>
      <c r="I10" s="199"/>
      <c r="J10" s="199"/>
      <c r="K10" s="199"/>
      <c r="L10" s="199"/>
      <c r="M10" s="199"/>
      <c r="N10" s="200"/>
    </row>
    <row r="11" spans="2:14" ht="18.600000000000001" thickBot="1" x14ac:dyDescent="0.4">
      <c r="B11" s="1"/>
      <c r="C11" s="1"/>
      <c r="D11" s="1"/>
      <c r="E11" s="201" t="s">
        <v>34</v>
      </c>
      <c r="F11" s="202"/>
      <c r="G11" s="202"/>
      <c r="H11" s="202"/>
      <c r="I11" s="202"/>
      <c r="J11" s="202"/>
      <c r="K11" s="202"/>
      <c r="L11" s="202"/>
      <c r="M11" s="202"/>
      <c r="N11" s="203"/>
    </row>
    <row r="12" spans="2:14" ht="15" thickBot="1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15" thickBot="1" x14ac:dyDescent="0.35">
      <c r="B13" s="1"/>
      <c r="C13" s="139" t="s">
        <v>7</v>
      </c>
      <c r="D13" s="140"/>
      <c r="E13" s="140"/>
      <c r="F13" s="140"/>
      <c r="G13" s="140"/>
      <c r="H13" s="141"/>
      <c r="I13" s="1"/>
      <c r="J13" s="1"/>
      <c r="K13" s="1"/>
      <c r="L13" s="1"/>
      <c r="M13" s="1"/>
      <c r="N13" s="1"/>
    </row>
    <row r="14" spans="2:14" ht="15" thickBot="1" x14ac:dyDescent="0.35">
      <c r="B14" s="1"/>
      <c r="C14" s="142"/>
      <c r="D14" s="143"/>
      <c r="E14" s="143"/>
      <c r="F14" s="143"/>
      <c r="G14" s="143"/>
      <c r="H14" s="144"/>
      <c r="I14" s="13"/>
      <c r="J14" s="145" t="s">
        <v>8</v>
      </c>
      <c r="K14" s="140"/>
      <c r="L14" s="140"/>
      <c r="M14" s="141"/>
      <c r="N14" s="1"/>
    </row>
    <row r="15" spans="2:14" ht="15" thickBot="1" x14ac:dyDescent="0.35">
      <c r="B15" s="1"/>
      <c r="C15" s="146" t="s">
        <v>35</v>
      </c>
      <c r="D15" s="147"/>
      <c r="E15" s="147"/>
      <c r="F15" s="148"/>
      <c r="G15" s="152"/>
      <c r="H15" s="153"/>
      <c r="I15" s="13"/>
      <c r="J15" s="142"/>
      <c r="K15" s="143"/>
      <c r="L15" s="143"/>
      <c r="M15" s="144"/>
      <c r="N15" s="1"/>
    </row>
    <row r="16" spans="2:14" ht="15" thickBot="1" x14ac:dyDescent="0.35">
      <c r="B16" s="1"/>
      <c r="C16" s="149"/>
      <c r="D16" s="150"/>
      <c r="E16" s="150"/>
      <c r="F16" s="151"/>
      <c r="G16" s="104"/>
      <c r="H16" s="154"/>
      <c r="I16" s="13"/>
      <c r="J16" s="155" t="s">
        <v>36</v>
      </c>
      <c r="K16" s="156"/>
      <c r="L16" s="165" t="str">
        <f>IF(OR(G15="",G17="",G19=""),
   "Input Required",
   IF(OR(NOT(ISNUMBER(G15)),NOT(ISNUMBER(G17)),NOT(ISNUMBER(G19))),
      "Invalid Input",
      G15*G17*G19
   )
)</f>
        <v>Input Required</v>
      </c>
      <c r="M16" s="153"/>
      <c r="N16" s="1"/>
    </row>
    <row r="17" spans="2:14" ht="15" thickBot="1" x14ac:dyDescent="0.35">
      <c r="B17" s="1"/>
      <c r="C17" s="159" t="s">
        <v>37</v>
      </c>
      <c r="D17" s="160"/>
      <c r="E17" s="160"/>
      <c r="F17" s="161"/>
      <c r="G17" s="165"/>
      <c r="H17" s="153"/>
      <c r="I17" s="13"/>
      <c r="J17" s="157"/>
      <c r="K17" s="158"/>
      <c r="L17" s="166"/>
      <c r="M17" s="167"/>
      <c r="N17" s="1"/>
    </row>
    <row r="18" spans="2:14" ht="15" thickBot="1" x14ac:dyDescent="0.35">
      <c r="B18" s="1"/>
      <c r="C18" s="162"/>
      <c r="D18" s="163"/>
      <c r="E18" s="163"/>
      <c r="F18" s="164"/>
      <c r="G18" s="166"/>
      <c r="H18" s="167"/>
      <c r="I18" s="13"/>
      <c r="J18" s="168" t="s">
        <v>16</v>
      </c>
      <c r="K18" s="169"/>
      <c r="L18" s="178" t="str">
        <f>L16</f>
        <v>Input Required</v>
      </c>
      <c r="M18" s="179"/>
      <c r="N18" s="1"/>
    </row>
    <row r="19" spans="2:14" ht="15" thickBot="1" x14ac:dyDescent="0.35">
      <c r="B19" s="1"/>
      <c r="C19" s="172" t="s">
        <v>38</v>
      </c>
      <c r="D19" s="173"/>
      <c r="E19" s="173"/>
      <c r="F19" s="174"/>
      <c r="G19" s="178"/>
      <c r="H19" s="179"/>
      <c r="I19" s="13"/>
      <c r="J19" s="170"/>
      <c r="K19" s="171"/>
      <c r="L19" s="180"/>
      <c r="M19" s="181"/>
      <c r="N19" s="1"/>
    </row>
    <row r="20" spans="2:14" ht="15" thickBot="1" x14ac:dyDescent="0.35">
      <c r="B20" s="1"/>
      <c r="C20" s="175"/>
      <c r="D20" s="176"/>
      <c r="E20" s="176"/>
      <c r="F20" s="177"/>
      <c r="G20" s="180"/>
      <c r="H20" s="181"/>
      <c r="I20" s="1"/>
      <c r="J20" s="12"/>
      <c r="K20" s="12"/>
      <c r="L20" s="1"/>
      <c r="M20" s="1"/>
      <c r="N20" s="1"/>
    </row>
    <row r="21" spans="2:14" x14ac:dyDescent="0.3">
      <c r="B21" s="1"/>
      <c r="C21" s="11"/>
      <c r="D21" s="11"/>
      <c r="E21" s="11"/>
      <c r="F21" s="11"/>
      <c r="G21" s="1"/>
      <c r="H21" s="1"/>
      <c r="I21" s="1"/>
      <c r="J21" s="12"/>
      <c r="K21" s="12"/>
      <c r="L21" s="1"/>
      <c r="M21" s="1"/>
      <c r="N21" s="1"/>
    </row>
    <row r="22" spans="2:14" x14ac:dyDescent="0.3">
      <c r="B22" s="1"/>
      <c r="C22" s="11"/>
      <c r="D22" s="11"/>
      <c r="E22" s="11"/>
      <c r="F22" s="11"/>
      <c r="G22" s="1"/>
      <c r="H22" s="1"/>
      <c r="I22" s="1"/>
      <c r="J22" s="9"/>
      <c r="K22" s="9"/>
      <c r="L22" s="1"/>
      <c r="M22" s="1"/>
      <c r="N22" s="1"/>
    </row>
    <row r="23" spans="2:14" x14ac:dyDescent="0.3">
      <c r="B23" s="1"/>
      <c r="C23" s="11"/>
      <c r="D23" s="11"/>
      <c r="E23" s="11"/>
      <c r="F23" s="11"/>
      <c r="G23" s="1"/>
      <c r="H23" s="1"/>
      <c r="I23" s="1"/>
      <c r="J23" s="9"/>
      <c r="K23" s="9"/>
      <c r="L23" s="1"/>
      <c r="M23" s="1"/>
      <c r="N23" s="1"/>
    </row>
    <row r="24" spans="2:14" x14ac:dyDescent="0.3">
      <c r="C24" s="5"/>
      <c r="D24" s="5"/>
      <c r="E24" s="5"/>
      <c r="F24" s="5"/>
    </row>
  </sheetData>
  <mergeCells count="17">
    <mergeCell ref="B4:N6"/>
    <mergeCell ref="B9:D10"/>
    <mergeCell ref="E9:N9"/>
    <mergeCell ref="E10:N10"/>
    <mergeCell ref="E11:N11"/>
    <mergeCell ref="C13:H14"/>
    <mergeCell ref="J14:M15"/>
    <mergeCell ref="C15:F16"/>
    <mergeCell ref="G15:H16"/>
    <mergeCell ref="J16:K17"/>
    <mergeCell ref="C17:F18"/>
    <mergeCell ref="G17:H18"/>
    <mergeCell ref="J18:K19"/>
    <mergeCell ref="C19:F20"/>
    <mergeCell ref="G19:H20"/>
    <mergeCell ref="L16:M17"/>
    <mergeCell ref="L18:M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FED4-9874-4FBD-BD45-F3F31EB8CAF7}">
  <dimension ref="B3:L35"/>
  <sheetViews>
    <sheetView topLeftCell="A13" workbookViewId="0">
      <selection activeCell="O32" sqref="O32"/>
    </sheetView>
  </sheetViews>
  <sheetFormatPr defaultRowHeight="14.4" x14ac:dyDescent="0.3"/>
  <sheetData>
    <row r="3" spans="2:12" ht="14.4" customHeight="1" x14ac:dyDescent="0.3">
      <c r="B3" s="281" t="s">
        <v>31</v>
      </c>
      <c r="C3" s="282"/>
      <c r="D3" s="282"/>
      <c r="E3" s="282"/>
      <c r="F3" s="282"/>
      <c r="G3" s="282"/>
      <c r="H3" s="282"/>
      <c r="I3" s="282"/>
      <c r="J3" s="282"/>
      <c r="K3" s="282"/>
      <c r="L3" s="283"/>
    </row>
    <row r="4" spans="2:12" ht="14.4" customHeight="1" x14ac:dyDescent="0.3">
      <c r="B4" s="284"/>
      <c r="C4" s="285"/>
      <c r="D4" s="285"/>
      <c r="E4" s="285"/>
      <c r="F4" s="285"/>
      <c r="G4" s="285"/>
      <c r="H4" s="285"/>
      <c r="I4" s="285"/>
      <c r="J4" s="285"/>
      <c r="K4" s="285"/>
      <c r="L4" s="286"/>
    </row>
    <row r="5" spans="2:12" ht="14.4" customHeight="1" x14ac:dyDescent="0.3">
      <c r="B5" s="287"/>
      <c r="C5" s="288"/>
      <c r="D5" s="288"/>
      <c r="E5" s="288"/>
      <c r="F5" s="288"/>
      <c r="G5" s="288"/>
      <c r="H5" s="288"/>
      <c r="I5" s="288"/>
      <c r="J5" s="288"/>
      <c r="K5" s="288"/>
      <c r="L5" s="289"/>
    </row>
    <row r="6" spans="2:12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x14ac:dyDescent="0.3">
      <c r="B8" s="293" t="s">
        <v>47</v>
      </c>
      <c r="C8" s="294"/>
      <c r="D8" s="295"/>
      <c r="E8" s="345" t="s">
        <v>57</v>
      </c>
      <c r="F8" s="346"/>
      <c r="G8" s="346"/>
      <c r="H8" s="346"/>
      <c r="I8" s="346"/>
      <c r="J8" s="346"/>
      <c r="K8" s="346"/>
      <c r="L8" s="347"/>
    </row>
    <row r="9" spans="2:12" x14ac:dyDescent="0.3">
      <c r="B9" s="296"/>
      <c r="C9" s="297"/>
      <c r="D9" s="298"/>
      <c r="E9" s="348"/>
      <c r="F9" s="349"/>
      <c r="G9" s="349"/>
      <c r="H9" s="349"/>
      <c r="I9" s="349"/>
      <c r="J9" s="349"/>
      <c r="K9" s="349"/>
      <c r="L9" s="350"/>
    </row>
    <row r="10" spans="2:12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3">
      <c r="B12" s="1"/>
      <c r="C12" s="1"/>
      <c r="D12" s="293" t="s">
        <v>48</v>
      </c>
      <c r="E12" s="294"/>
      <c r="F12" s="294"/>
      <c r="G12" s="294"/>
      <c r="H12" s="294"/>
      <c r="I12" s="294"/>
      <c r="J12" s="295"/>
      <c r="K12" s="1"/>
      <c r="L12" s="1"/>
    </row>
    <row r="13" spans="2:12" x14ac:dyDescent="0.3">
      <c r="B13" s="1"/>
      <c r="C13" s="1"/>
      <c r="D13" s="301"/>
      <c r="E13" s="302"/>
      <c r="F13" s="302"/>
      <c r="G13" s="302"/>
      <c r="H13" s="302"/>
      <c r="I13" s="302"/>
      <c r="J13" s="303"/>
      <c r="K13" s="1"/>
      <c r="L13" s="1"/>
    </row>
    <row r="14" spans="2:12" x14ac:dyDescent="0.3">
      <c r="B14" s="1"/>
      <c r="C14" s="1"/>
      <c r="D14" s="301" t="s">
        <v>49</v>
      </c>
      <c r="E14" s="299"/>
      <c r="F14" s="299"/>
      <c r="G14" s="299"/>
      <c r="H14" s="299"/>
      <c r="I14" s="299"/>
      <c r="J14" s="300"/>
      <c r="K14" s="1"/>
      <c r="L14" s="1"/>
    </row>
    <row r="15" spans="2:12" x14ac:dyDescent="0.3">
      <c r="B15" s="1"/>
      <c r="C15" s="1"/>
      <c r="D15" s="290"/>
      <c r="E15" s="291"/>
      <c r="F15" s="291"/>
      <c r="G15" s="291"/>
      <c r="H15" s="291"/>
      <c r="I15" s="291"/>
      <c r="J15" s="292"/>
      <c r="K15" s="1"/>
      <c r="L15" s="1"/>
    </row>
    <row r="16" spans="2:12" x14ac:dyDescent="0.3">
      <c r="B16" s="1"/>
      <c r="C16" s="1"/>
      <c r="D16" s="255"/>
      <c r="E16" s="256"/>
      <c r="F16" s="256"/>
      <c r="G16" s="256"/>
      <c r="H16" s="256"/>
      <c r="I16" s="256"/>
      <c r="J16" s="257"/>
      <c r="K16" s="1"/>
      <c r="L16" s="1"/>
    </row>
    <row r="17" spans="2:12" x14ac:dyDescent="0.3">
      <c r="B17" s="1"/>
      <c r="C17" s="1"/>
      <c r="D17" s="255"/>
      <c r="E17" s="256"/>
      <c r="F17" s="256"/>
      <c r="G17" s="256"/>
      <c r="H17" s="256"/>
      <c r="I17" s="256"/>
      <c r="J17" s="257"/>
      <c r="K17" s="1"/>
      <c r="L17" s="1"/>
    </row>
    <row r="18" spans="2:12" x14ac:dyDescent="0.3">
      <c r="B18" s="1"/>
      <c r="C18" s="1"/>
      <c r="D18" s="255"/>
      <c r="E18" s="256"/>
      <c r="F18" s="256"/>
      <c r="G18" s="256"/>
      <c r="H18" s="256"/>
      <c r="I18" s="256"/>
      <c r="J18" s="257"/>
      <c r="K18" s="1"/>
      <c r="L18" s="1"/>
    </row>
    <row r="19" spans="2:12" x14ac:dyDescent="0.3">
      <c r="B19" s="1"/>
      <c r="C19" s="1"/>
      <c r="D19" s="255"/>
      <c r="E19" s="256"/>
      <c r="F19" s="256"/>
      <c r="G19" s="256"/>
      <c r="H19" s="256"/>
      <c r="I19" s="256"/>
      <c r="J19" s="257"/>
      <c r="K19" s="1"/>
      <c r="L19" s="1"/>
    </row>
    <row r="20" spans="2:12" x14ac:dyDescent="0.3">
      <c r="B20" s="1"/>
      <c r="C20" s="1"/>
      <c r="D20" s="255"/>
      <c r="E20" s="256"/>
      <c r="F20" s="256"/>
      <c r="G20" s="256"/>
      <c r="H20" s="256"/>
      <c r="I20" s="256"/>
      <c r="J20" s="257"/>
      <c r="K20" s="1"/>
      <c r="L20" s="1"/>
    </row>
    <row r="21" spans="2:12" x14ac:dyDescent="0.3">
      <c r="B21" s="1"/>
      <c r="C21" s="1"/>
      <c r="D21" s="255"/>
      <c r="E21" s="256"/>
      <c r="F21" s="256"/>
      <c r="G21" s="256"/>
      <c r="H21" s="256"/>
      <c r="I21" s="256"/>
      <c r="J21" s="257"/>
      <c r="K21" s="1"/>
      <c r="L21" s="1"/>
    </row>
    <row r="22" spans="2:12" x14ac:dyDescent="0.3">
      <c r="B22" s="1"/>
      <c r="C22" s="1"/>
      <c r="D22" s="255"/>
      <c r="E22" s="256"/>
      <c r="F22" s="256"/>
      <c r="G22" s="256"/>
      <c r="H22" s="256"/>
      <c r="I22" s="256"/>
      <c r="J22" s="257"/>
      <c r="K22" s="1"/>
      <c r="L22" s="1"/>
    </row>
    <row r="23" spans="2:12" x14ac:dyDescent="0.3">
      <c r="B23" s="1"/>
      <c r="C23" s="1"/>
      <c r="D23" s="255"/>
      <c r="E23" s="256"/>
      <c r="F23" s="256"/>
      <c r="G23" s="256"/>
      <c r="H23" s="256"/>
      <c r="I23" s="256"/>
      <c r="J23" s="257"/>
      <c r="K23" s="1"/>
      <c r="L23" s="1"/>
    </row>
    <row r="24" spans="2:12" x14ac:dyDescent="0.3">
      <c r="B24" s="1"/>
      <c r="C24" s="1"/>
      <c r="D24" s="255"/>
      <c r="E24" s="256"/>
      <c r="F24" s="256"/>
      <c r="G24" s="256"/>
      <c r="H24" s="256"/>
      <c r="I24" s="256"/>
      <c r="J24" s="257"/>
      <c r="K24" s="1"/>
      <c r="L24" s="1"/>
    </row>
    <row r="25" spans="2:12" x14ac:dyDescent="0.3">
      <c r="B25" s="1"/>
      <c r="C25" s="1"/>
      <c r="D25" s="255"/>
      <c r="E25" s="256"/>
      <c r="F25" s="256"/>
      <c r="G25" s="256"/>
      <c r="H25" s="256"/>
      <c r="I25" s="256"/>
      <c r="J25" s="257"/>
      <c r="K25" s="1"/>
      <c r="L25" s="1"/>
    </row>
    <row r="26" spans="2:12" x14ac:dyDescent="0.3">
      <c r="B26" s="1"/>
      <c r="C26" s="1"/>
      <c r="D26" s="255"/>
      <c r="E26" s="256"/>
      <c r="F26" s="256"/>
      <c r="G26" s="256"/>
      <c r="H26" s="256"/>
      <c r="I26" s="256"/>
      <c r="J26" s="257"/>
      <c r="K26" s="1"/>
      <c r="L26" s="1"/>
    </row>
    <row r="27" spans="2:12" x14ac:dyDescent="0.3">
      <c r="B27" s="1"/>
      <c r="C27" s="1"/>
      <c r="D27" s="255"/>
      <c r="E27" s="256"/>
      <c r="F27" s="256"/>
      <c r="G27" s="256"/>
      <c r="H27" s="256"/>
      <c r="I27" s="256"/>
      <c r="J27" s="257"/>
      <c r="K27" s="1"/>
      <c r="L27" s="1"/>
    </row>
    <row r="28" spans="2:12" x14ac:dyDescent="0.3">
      <c r="B28" s="1"/>
      <c r="C28" s="1"/>
      <c r="D28" s="258"/>
      <c r="E28" s="259"/>
      <c r="F28" s="259"/>
      <c r="G28" s="259"/>
      <c r="H28" s="259"/>
      <c r="I28" s="259"/>
      <c r="J28" s="260"/>
      <c r="K28" s="1"/>
      <c r="L28" s="1"/>
    </row>
    <row r="29" spans="2:12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3">
      <c r="B31" s="304" t="s">
        <v>50</v>
      </c>
      <c r="C31" s="307"/>
      <c r="D31" s="309" t="s">
        <v>51</v>
      </c>
      <c r="E31" s="310"/>
      <c r="F31" s="310"/>
      <c r="G31" s="310"/>
      <c r="H31" s="310"/>
      <c r="I31" s="310"/>
      <c r="J31" s="310"/>
      <c r="K31" s="310"/>
      <c r="L31" s="311"/>
    </row>
    <row r="32" spans="2:12" x14ac:dyDescent="0.3">
      <c r="B32" s="305"/>
      <c r="C32" s="308"/>
      <c r="D32" s="306"/>
      <c r="E32" s="312"/>
      <c r="F32" s="312"/>
      <c r="G32" s="312"/>
      <c r="H32" s="312"/>
      <c r="I32" s="312"/>
      <c r="J32" s="312"/>
      <c r="K32" s="312"/>
      <c r="L32" s="313"/>
    </row>
    <row r="33" spans="2:12" ht="15.6" x14ac:dyDescent="0.3">
      <c r="B33" s="1"/>
      <c r="C33" s="1"/>
      <c r="D33" s="317" t="s">
        <v>52</v>
      </c>
      <c r="E33" s="318"/>
      <c r="F33" s="318"/>
      <c r="G33" s="318"/>
      <c r="H33" s="318"/>
      <c r="I33" s="318"/>
      <c r="J33" s="318"/>
      <c r="K33" s="318"/>
      <c r="L33" s="319"/>
    </row>
    <row r="34" spans="2:12" x14ac:dyDescent="0.3">
      <c r="B34" s="1"/>
      <c r="C34" s="1"/>
      <c r="D34" s="314"/>
      <c r="E34" s="315"/>
      <c r="F34" s="315"/>
      <c r="G34" s="315"/>
      <c r="H34" s="315"/>
      <c r="I34" s="315"/>
      <c r="J34" s="315"/>
      <c r="K34" s="315"/>
      <c r="L34" s="316"/>
    </row>
    <row r="35" spans="2:12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mergeCells count="9">
    <mergeCell ref="B31:C32"/>
    <mergeCell ref="D31:L32"/>
    <mergeCell ref="D33:L33"/>
    <mergeCell ref="D34:L34"/>
    <mergeCell ref="B3:L5"/>
    <mergeCell ref="B8:D9"/>
    <mergeCell ref="E8:L9"/>
    <mergeCell ref="D12:J13"/>
    <mergeCell ref="D14:J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Methodology 1</vt:lpstr>
      <vt:lpstr>Comparison 1</vt:lpstr>
      <vt:lpstr>Methodology 2</vt:lpstr>
      <vt:lpstr>Comparison 2</vt:lpstr>
      <vt:lpstr>Methodology 3 </vt:lpstr>
      <vt:lpstr>Comparison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Pardis Abbasnejad</dc:creator>
  <cp:keywords/>
  <dc:description/>
  <cp:lastModifiedBy>Pardis Abbasnejad</cp:lastModifiedBy>
  <cp:revision/>
  <dcterms:created xsi:type="dcterms:W3CDTF">2026-06-02T17:33:00Z</dcterms:created>
  <dcterms:modified xsi:type="dcterms:W3CDTF">2026-06-16T17:28:26Z</dcterms:modified>
  <cp:category/>
  <cp:contentStatus/>
</cp:coreProperties>
</file>